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Listening_실전문항" sheetId="1" state="visible" r:id="rId1"/>
    <sheet xmlns:r="http://schemas.openxmlformats.org/officeDocument/2006/relationships" name="📖_Reading_실전문항" sheetId="2" state="visible" r:id="rId2"/>
    <sheet xmlns:r="http://schemas.openxmlformats.org/officeDocument/2006/relationships" name="💡_Listening_정답해설집" sheetId="3" state="visible" r:id="rId3"/>
    <sheet xmlns:r="http://schemas.openxmlformats.org/officeDocument/2006/relationships" name="💡_Reading_정답해설집" sheetId="4" state="visible" r:id="rId4"/>
    <sheet xmlns:r="http://schemas.openxmlformats.org/officeDocument/2006/relationships" name="★토익_800돌파_킬러공식"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FFFFFF"/>
      <sz val="11"/>
    </font>
    <font>
      <name val="맑은 고딕"/>
      <sz val="10"/>
    </font>
    <font>
      <name val="맑은 고딕"/>
      <b val="1"/>
      <sz val="10"/>
    </font>
    <font>
      <name val="맑은 고딕"/>
      <b val="1"/>
      <color rgb="00004B91"/>
      <sz val="10"/>
      <u val="single"/>
    </font>
  </fonts>
  <fills count="10">
    <fill>
      <patternFill/>
    </fill>
    <fill>
      <patternFill patternType="gray125"/>
    </fill>
    <fill>
      <patternFill patternType="solid">
        <fgColor rgb="001B365D"/>
        <bgColor rgb="001B365D"/>
      </patternFill>
    </fill>
    <fill>
      <patternFill patternType="solid">
        <fgColor rgb="00F0F4F9"/>
        <bgColor rgb="00F0F4F9"/>
      </patternFill>
    </fill>
    <fill>
      <patternFill patternType="solid">
        <fgColor rgb="001D5B41"/>
        <bgColor rgb="001D5B41"/>
      </patternFill>
    </fill>
    <fill>
      <patternFill patternType="solid">
        <fgColor rgb="00F0F7F4"/>
        <bgColor rgb="00F0F7F4"/>
      </patternFill>
    </fill>
    <fill>
      <patternFill patternType="solid">
        <fgColor rgb="003A3B7B"/>
        <bgColor rgb="003A3B7B"/>
      </patternFill>
    </fill>
    <fill>
      <patternFill patternType="solid">
        <fgColor rgb="00F5F5FA"/>
        <bgColor rgb="00F5F5FA"/>
      </patternFill>
    </fill>
    <fill>
      <patternFill patternType="solid">
        <fgColor rgb="0017535B"/>
        <bgColor rgb="0017535B"/>
      </patternFill>
    </fill>
    <fill>
      <patternFill patternType="solid">
        <fgColor rgb="00C00000"/>
        <bgColor rgb="00C00000"/>
      </patternFill>
    </fill>
  </fills>
  <borders count="2">
    <border>
      <left/>
      <right/>
      <top/>
      <bottom/>
      <diagonal/>
    </border>
    <border>
      <left style="thin">
        <color rgb="00D3D9E2"/>
      </left>
      <right style="thin">
        <color rgb="00D3D9E2"/>
      </right>
      <top style="thin">
        <color rgb="00D3D9E2"/>
      </top>
      <bottom style="thin">
        <color rgb="00D3D9E2"/>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left" vertical="center" wrapText="1"/>
    </xf>
    <xf numFmtId="0" fontId="4" fillId="0" borderId="1" applyAlignment="1" pivotButton="0" quotePrefix="0" xfId="0">
      <alignment horizontal="center" vertical="center"/>
    </xf>
    <xf numFmtId="0" fontId="1" fillId="4" borderId="1" applyAlignment="1" pivotButton="0" quotePrefix="0" xfId="0">
      <alignment horizontal="center" vertical="center" wrapText="1"/>
    </xf>
    <xf numFmtId="0" fontId="3"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1" fillId="6" borderId="1" applyAlignment="1" pivotButton="0" quotePrefix="0" xfId="0">
      <alignment horizontal="center" vertical="center" wrapText="1"/>
    </xf>
    <xf numFmtId="0" fontId="3" fillId="7" borderId="1" applyAlignment="1" pivotButton="0" quotePrefix="0" xfId="0">
      <alignment horizontal="center" vertical="center"/>
    </xf>
    <xf numFmtId="0" fontId="2"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40" customWidth="1" min="4" max="4"/>
    <col width="35" customWidth="1" min="5" max="5"/>
    <col width="25" customWidth="1" min="6" max="6"/>
    <col width="25" customWidth="1" min="7" max="7"/>
    <col width="25" customWidth="1" min="8" max="8"/>
    <col width="25" customWidth="1" min="9" max="9"/>
    <col width="10" customWidth="1" min="10" max="10"/>
    <col width="30" customWidth="1" min="11" max="11"/>
  </cols>
  <sheetData>
    <row r="1" ht="32" customHeight="1">
      <c r="A1" s="1" t="inlineStr">
        <is>
          <t>문항 번호</t>
        </is>
      </c>
      <c r="B1" s="1" t="inlineStr">
        <is>
          <t>파트 구분</t>
        </is>
      </c>
      <c r="C1" s="1" t="inlineStr">
        <is>
          <t>출제 카테고리</t>
        </is>
      </c>
      <c r="D1" s="1" t="inlineStr">
        <is>
          <t>듣기 평가 내용 (Question)</t>
        </is>
      </c>
      <c r="E1" s="1" t="inlineStr">
        <is>
          <t>사진 / 지문 안내</t>
        </is>
      </c>
      <c r="F1" s="1" t="inlineStr">
        <is>
          <t>보기 (A)</t>
        </is>
      </c>
      <c r="G1" s="1" t="inlineStr">
        <is>
          <t>보기 (B)</t>
        </is>
      </c>
      <c r="H1" s="1" t="inlineStr">
        <is>
          <t>보기 (C)</t>
        </is>
      </c>
      <c r="I1" s="1" t="inlineStr">
        <is>
          <t>보기 (D)</t>
        </is>
      </c>
      <c r="J1" s="1" t="inlineStr">
        <is>
          <t>정답</t>
        </is>
      </c>
      <c r="K1" s="1" t="inlineStr">
        <is>
          <t>실전 CBT 듣기 &amp; 풀기 (링크)</t>
        </is>
      </c>
    </row>
    <row r="2" ht="55" customHeight="1">
      <c r="A2" s="2" t="inlineStr">
        <is>
          <t>Q1</t>
        </is>
      </c>
      <c r="B2" s="2" t="inlineStr">
        <is>
          <t>Part 1</t>
        </is>
      </c>
      <c r="C2" s="3" t="inlineStr">
        <is>
          <t>Photographs (사무실 인물)</t>
        </is>
      </c>
      <c r="D2" s="3" t="inlineStr">
        <is>
          <t>Look at the picture marked Number 1 in your test book and choose the best statement.</t>
        </is>
      </c>
      <c r="E2" s="3" t="inlineStr">
        <is>
          <t>[관련 이미지 수록] 책상에서 노트북으로 업무를 보고 있는 여성의 모습</t>
        </is>
      </c>
      <c r="F2" s="3" t="inlineStr">
        <is>
          <t>She is writing on a whiteboard.</t>
        </is>
      </c>
      <c r="G2" s="3" t="inlineStr">
        <is>
          <t>She is working on a laptop computer.</t>
        </is>
      </c>
      <c r="H2" s="3" t="inlineStr">
        <is>
          <t>She is answering a telephone call.</t>
        </is>
      </c>
      <c r="I2" s="3" t="inlineStr">
        <is>
          <t>She is filing documents into a cabinet.</t>
        </is>
      </c>
      <c r="J2" s="2" t="inlineStr">
        <is>
          <t>B</t>
        </is>
      </c>
      <c r="K2" s="4">
        <f>HYPERLINK("https://srunaic.github.io/Korea_History_Exel_CBT_System/toeic_cbt.html?q=1#q1", "🎧 Q1번 풀기 (원어민 음성+사진)")</f>
        <v/>
      </c>
    </row>
    <row r="3" ht="55" customHeight="1">
      <c r="A3" s="5" t="inlineStr">
        <is>
          <t>Q2</t>
        </is>
      </c>
      <c r="B3" s="5" t="inlineStr">
        <is>
          <t>Part 2</t>
        </is>
      </c>
      <c r="C3" s="6" t="inlineStr">
        <is>
          <t>Question-Response (When)</t>
        </is>
      </c>
      <c r="D3" s="6" t="inlineStr">
        <is>
          <t>When is the quarterly financial report scheduled to be submitted?</t>
        </is>
      </c>
      <c r="E3" s="6" t="inlineStr">
        <is>
          <t>[오디오 전용 문항] 질문과 보기를 귀로만 듣고 가장 알맞은 응답 선택</t>
        </is>
      </c>
      <c r="F3" s="6" t="inlineStr">
        <is>
          <t>(A) Yes, Mr. Harris already approved it.</t>
        </is>
      </c>
      <c r="G3" s="6" t="inlineStr">
        <is>
          <t>(B) By Friday afternoon at five o'clock.</t>
        </is>
      </c>
      <c r="H3" s="6" t="inlineStr">
        <is>
          <t>(C) In the main conference hall on the second floor.</t>
        </is>
      </c>
      <c r="I3" s="6" t="inlineStr">
        <is>
          <t>N/A (Part 2는 3지선다)</t>
        </is>
      </c>
      <c r="J3" s="5" t="inlineStr">
        <is>
          <t>B</t>
        </is>
      </c>
      <c r="K3" s="7">
        <f>HYPERLINK("https://srunaic.github.io/Korea_History_Exel_CBT_System/toeic_cbt.html?q=2#q2", "🎧 Q2번 풀기 (원어민 듣기평가)")</f>
        <v/>
      </c>
    </row>
    <row r="4" ht="55" customHeight="1">
      <c r="A4" s="2" t="inlineStr">
        <is>
          <t>Q3</t>
        </is>
      </c>
      <c r="B4" s="2" t="inlineStr">
        <is>
          <t>Part 3</t>
        </is>
      </c>
      <c r="C4" s="3" t="inlineStr">
        <is>
          <t>Short Conversation (일정 변경)</t>
        </is>
      </c>
      <c r="D4" s="3" t="inlineStr">
        <is>
          <t>What does the woman ask the man to do?</t>
        </is>
      </c>
      <c r="E4" s="3" t="inlineStr">
        <is>
          <t>[대화 지문] 클라이언트 미팅 시간 연기 및 팀 캘린더 초대장 발송 요청</t>
        </is>
      </c>
      <c r="F4" s="3" t="inlineStr">
        <is>
          <t>Book a flight for tomorrow morning</t>
        </is>
      </c>
      <c r="G4" s="3" t="inlineStr">
        <is>
          <t>Postpone an upcoming presentation</t>
        </is>
      </c>
      <c r="H4" s="3" t="inlineStr">
        <is>
          <t>Email an updated meeting invitation</t>
        </is>
      </c>
      <c r="I4" s="3" t="inlineStr">
        <is>
          <t>Prepare a financial document</t>
        </is>
      </c>
      <c r="J4" s="2" t="inlineStr">
        <is>
          <t>C</t>
        </is>
      </c>
      <c r="K4" s="4">
        <f>HYPERLINK("https://srunaic.github.io/Korea_History_Exel_CBT_System/toeic_cbt.html?q=3#q3", "🎧 Q3번 풀기 (대화 듣기+풀기)")</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42" customWidth="1" min="4" max="4"/>
    <col width="45" customWidth="1" min="5" max="5"/>
    <col width="22" customWidth="1" min="6" max="6"/>
    <col width="22" customWidth="1" min="7" max="7"/>
    <col width="22" customWidth="1" min="8" max="8"/>
    <col width="22" customWidth="1" min="9" max="9"/>
    <col width="10" customWidth="1" min="10" max="10"/>
    <col width="28" customWidth="1" min="11" max="11"/>
  </cols>
  <sheetData>
    <row r="1" ht="32" customHeight="1">
      <c r="A1" s="8" t="inlineStr">
        <is>
          <t>문항 번호</t>
        </is>
      </c>
      <c r="B1" s="8" t="inlineStr">
        <is>
          <t>파트 구분</t>
        </is>
      </c>
      <c r="C1" s="8" t="inlineStr">
        <is>
          <t>출제 카테고리</t>
        </is>
      </c>
      <c r="D1" s="8" t="inlineStr">
        <is>
          <t>문제 문장 / 질문 (Question)</t>
        </is>
      </c>
      <c r="E1" s="8" t="inlineStr">
        <is>
          <t>독해 본문 지문 (Passage)</t>
        </is>
      </c>
      <c r="F1" s="8" t="inlineStr">
        <is>
          <t>보기 (A)</t>
        </is>
      </c>
      <c r="G1" s="8" t="inlineStr">
        <is>
          <t>보기 (B)</t>
        </is>
      </c>
      <c r="H1" s="8" t="inlineStr">
        <is>
          <t>보기 (C)</t>
        </is>
      </c>
      <c r="I1" s="8" t="inlineStr">
        <is>
          <t>보기 (D)</t>
        </is>
      </c>
      <c r="J1" s="8" t="inlineStr">
        <is>
          <t>정답</t>
        </is>
      </c>
      <c r="K1" s="8" t="inlineStr">
        <is>
          <t>실전 CBT 풀기 (링크)</t>
        </is>
      </c>
    </row>
    <row r="2" ht="55" customHeight="1">
      <c r="A2" s="9" t="inlineStr">
        <is>
          <t>Q4</t>
        </is>
      </c>
      <c r="B2" s="9" t="inlineStr">
        <is>
          <t>Part 5</t>
        </is>
      </c>
      <c r="C2" s="10" t="inlineStr">
        <is>
          <t>Grammar (동사수식 부사자리)</t>
        </is>
      </c>
      <c r="D2" s="10" t="inlineStr">
        <is>
          <t>All team supervisors must review the revised quarterly financial statement ------- before submitting it to the executive board.</t>
        </is>
      </c>
      <c r="E2" s="10" t="inlineStr">
        <is>
          <t>N/A</t>
        </is>
      </c>
      <c r="F2" s="10" t="inlineStr">
        <is>
          <t>thorough</t>
        </is>
      </c>
      <c r="G2" s="10" t="inlineStr">
        <is>
          <t>thoroughly</t>
        </is>
      </c>
      <c r="H2" s="10" t="inlineStr">
        <is>
          <t>thoroughness</t>
        </is>
      </c>
      <c r="I2" s="10" t="inlineStr">
        <is>
          <t>more thorough</t>
        </is>
      </c>
      <c r="J2" s="9" t="inlineStr">
        <is>
          <t>B</t>
        </is>
      </c>
      <c r="K2" s="11">
        <f>HYPERLINK("https://srunaic.github.io/Korea_History_Exel_CBT_System/toeic_cbt.html?q=4#q4", "📖 Q4번 풀기 (1초 정답 체크)")</f>
        <v/>
      </c>
    </row>
    <row r="3" ht="55" customHeight="1">
      <c r="A3" s="5" t="inlineStr">
        <is>
          <t>Q5</t>
        </is>
      </c>
      <c r="B3" s="5" t="inlineStr">
        <is>
          <t>Part 5</t>
        </is>
      </c>
      <c r="C3" s="6" t="inlineStr">
        <is>
          <t>Grammar (전치사 vs 접속사)</t>
        </is>
      </c>
      <c r="D3" s="6" t="inlineStr">
        <is>
          <t>------- the unprecedented rise in overseas shipping fees, NEXIS Global managed to achieve record-high quarterly revenue.</t>
        </is>
      </c>
      <c r="E3" s="6" t="inlineStr">
        <is>
          <t>N/A</t>
        </is>
      </c>
      <c r="F3" s="6" t="inlineStr">
        <is>
          <t>Despite</t>
        </is>
      </c>
      <c r="G3" s="6" t="inlineStr">
        <is>
          <t>Although</t>
        </is>
      </c>
      <c r="H3" s="6" t="inlineStr">
        <is>
          <t>Furthermore</t>
        </is>
      </c>
      <c r="I3" s="6" t="inlineStr">
        <is>
          <t>Because</t>
        </is>
      </c>
      <c r="J3" s="5" t="inlineStr">
        <is>
          <t>A</t>
        </is>
      </c>
      <c r="K3" s="7">
        <f>HYPERLINK("https://srunaic.github.io/Korea_History_Exel_CBT_System/toeic_cbt.html?q=5#q5", "📖 Q5번 풀기 (실전 CBT 풀기)")</f>
        <v/>
      </c>
    </row>
    <row r="4" ht="55" customHeight="1">
      <c r="A4" s="9" t="inlineStr">
        <is>
          <t>Q6</t>
        </is>
      </c>
      <c r="B4" s="9" t="inlineStr">
        <is>
          <t>Part 5</t>
        </is>
      </c>
      <c r="C4" s="10" t="inlineStr">
        <is>
          <t>Vocabulary (자동사 연어)</t>
        </is>
      </c>
      <c r="D4" s="10" t="inlineStr">
        <is>
          <t>All factory employees are strictly mandated to ------- with the industrial safety regulations established by the government.</t>
        </is>
      </c>
      <c r="E4" s="10" t="inlineStr">
        <is>
          <t>N/A</t>
        </is>
      </c>
      <c r="F4" s="10" t="inlineStr">
        <is>
          <t>comply</t>
        </is>
      </c>
      <c r="G4" s="10" t="inlineStr">
        <is>
          <t>adhere</t>
        </is>
      </c>
      <c r="H4" s="10" t="inlineStr">
        <is>
          <t>observe</t>
        </is>
      </c>
      <c r="I4" s="10" t="inlineStr">
        <is>
          <t>fulfill</t>
        </is>
      </c>
      <c r="J4" s="9" t="inlineStr">
        <is>
          <t>A</t>
        </is>
      </c>
      <c r="K4" s="11">
        <f>HYPERLINK("https://srunaic.github.io/Korea_History_Exel_CBT_System/toeic_cbt.html?q=6#q6", "📖 Q6번 풀기 (실전 CBT 풀기)")</f>
        <v/>
      </c>
    </row>
    <row r="5" ht="55" customHeight="1">
      <c r="A5" s="5" t="inlineStr">
        <is>
          <t>Q7</t>
        </is>
      </c>
      <c r="B5" s="5" t="inlineStr">
        <is>
          <t>Part 6</t>
        </is>
      </c>
      <c r="C5" s="6" t="inlineStr">
        <is>
          <t>Context (문맥 접속부사)</t>
        </is>
      </c>
      <c r="D5" s="6" t="inlineStr">
        <is>
          <t>Choose the word that best completes the blank [ 7 ].</t>
        </is>
      </c>
      <c r="E5" s="6" t="inlineStr">
        <is>
          <t>MEMORANDUM
To: All Department Heads
From: Corporate Operations
Date: October 5
Subject: Office Renovation and Remote Work
Starting next Monday, our headquarters will undergo extensive interior renovations on the 4th and 5th floors. [ 7 ], all staff members in these divisions are encouraged to work remotely until construction concludes on October 25.</t>
        </is>
      </c>
      <c r="F5" s="6" t="inlineStr">
        <is>
          <t>Therefore</t>
        </is>
      </c>
      <c r="G5" s="6" t="inlineStr">
        <is>
          <t>However</t>
        </is>
      </c>
      <c r="H5" s="6" t="inlineStr">
        <is>
          <t>Otherwise</t>
        </is>
      </c>
      <c r="I5" s="6" t="inlineStr">
        <is>
          <t>Meanwhile</t>
        </is>
      </c>
      <c r="J5" s="5" t="inlineStr">
        <is>
          <t>A</t>
        </is>
      </c>
      <c r="K5" s="7">
        <f>HYPERLINK("https://srunaic.github.io/Korea_History_Exel_CBT_System/toeic_cbt.html?q=7#q7", "📖 Q7번 풀기 (장문 문맥 풀기)")</f>
        <v/>
      </c>
    </row>
    <row r="6" ht="55" customHeight="1">
      <c r="A6" s="9" t="inlineStr">
        <is>
          <t>Q8</t>
        </is>
      </c>
      <c r="B6" s="9" t="inlineStr">
        <is>
          <t>Part 7</t>
        </is>
      </c>
      <c r="C6" s="10" t="inlineStr">
        <is>
          <t>Main Idea (이메일 목적)</t>
        </is>
      </c>
      <c r="D6" s="10" t="inlineStr">
        <is>
          <t>What is the main purpose of the notification?</t>
        </is>
      </c>
      <c r="E6" s="10" t="inlineStr">
        <is>
          <t>Notice to All Personnel:
Please be advised that effective December 1, Apex Solutions will implement an updated policy regarding business travel expense reimbursements. Under the new guidelines, all reimbursement requests must be submitted through the internal employee portal within 14 business days of returning from a trip.
Additionally, physical paper receipts will no longer be accepted. Employees must upload clear digital scans or photos of all original receipts.</t>
        </is>
      </c>
      <c r="F6" s="10" t="inlineStr">
        <is>
          <t>To announce changes to expense reimbursement procedures</t>
        </is>
      </c>
      <c r="G6" s="10" t="inlineStr">
        <is>
          <t>To inform staff of upcoming business travel schedules</t>
        </is>
      </c>
      <c r="H6" s="10" t="inlineStr">
        <is>
          <t>To provide instructions on downloading mobile software</t>
        </is>
      </c>
      <c r="I6" s="10" t="inlineStr">
        <is>
          <t>To introduce new personnel in the accounting department</t>
        </is>
      </c>
      <c r="J6" s="9" t="inlineStr">
        <is>
          <t>A</t>
        </is>
      </c>
      <c r="K6" s="11">
        <f>HYPERLINK("https://srunaic.github.io/Korea_History_Exel_CBT_System/toeic_cbt.html?q=8#q8", "📖 Q8번 풀기 (실전 독해 풀기)")</f>
        <v/>
      </c>
    </row>
    <row r="7" ht="55" customHeight="1">
      <c r="A7" s="5" t="inlineStr">
        <is>
          <t>Q9</t>
        </is>
      </c>
      <c r="B7" s="5" t="inlineStr">
        <is>
          <t>Part 7</t>
        </is>
      </c>
      <c r="C7" s="6" t="inlineStr">
        <is>
          <t>Detail &amp; Paraphrasing</t>
        </is>
      </c>
      <c r="D7" s="6" t="inlineStr">
        <is>
          <t>According to the notice, what is stated about receipts?</t>
        </is>
      </c>
      <c r="E7" s="6" t="inlineStr">
        <is>
          <t>Notice to All Personnel:
Please be advised that effective December 1, Apex Solutions will implement an updated policy regarding business travel expense reimbursements. Under the new guidelines, all reimbursement requests must be submitted through the internal employee portal within 14 business days of returning from a trip.
Additionally, physical paper receipts will no longer be accepted. Employees must upload clear digital scans or photos of all original receipts.</t>
        </is>
      </c>
      <c r="F7" s="6" t="inlineStr">
        <is>
          <t>Paper receipts must be mailed to the finance team.</t>
        </is>
      </c>
      <c r="G7" s="6" t="inlineStr">
        <is>
          <t>They must be provided in an electronic format.</t>
        </is>
      </c>
      <c r="H7" s="6" t="inlineStr">
        <is>
          <t>Original copies must be submitted in person.</t>
        </is>
      </c>
      <c r="I7" s="6" t="inlineStr">
        <is>
          <t>Receipts under $20 do not require submission.</t>
        </is>
      </c>
      <c r="J7" s="5" t="inlineStr">
        <is>
          <t>B</t>
        </is>
      </c>
      <c r="K7" s="7">
        <f>HYPERLINK("https://srunaic.github.io/Korea_History_Exel_CBT_System/toeic_cbt.html?q=9#q9", "📖 Q9번 풀기 (패러프레이징 매칭)")</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45" customWidth="1" min="4" max="4"/>
    <col width="42" customWidth="1" min="5" max="5"/>
    <col width="45" customWidth="1" min="6" max="6"/>
    <col width="35" customWidth="1" min="7" max="7"/>
  </cols>
  <sheetData>
    <row r="1" ht="32" customHeight="1">
      <c r="A1" s="12" t="inlineStr">
        <is>
          <t>문항 번호</t>
        </is>
      </c>
      <c r="B1" s="12" t="inlineStr">
        <is>
          <t>파트 구분</t>
        </is>
      </c>
      <c r="C1" s="12" t="inlineStr">
        <is>
          <t>정답</t>
        </is>
      </c>
      <c r="D1" s="12" t="inlineStr">
        <is>
          <t>음성 원문 스크립트 (Listening Script)</t>
        </is>
      </c>
      <c r="E1" s="12" t="inlineStr">
        <is>
          <t>우리말 전문 해석</t>
        </is>
      </c>
      <c r="F1" s="12" t="inlineStr">
        <is>
          <t>정답 도출 근거 및 1초 소거법</t>
        </is>
      </c>
      <c r="G1" s="12" t="inlineStr">
        <is>
          <t>핵심 필수 어휘 &amp; 표현</t>
        </is>
      </c>
    </row>
    <row r="2" ht="55" customHeight="1">
      <c r="A2" s="13" t="inlineStr">
        <is>
          <t>Q1</t>
        </is>
      </c>
      <c r="B2" s="13" t="inlineStr">
        <is>
          <t>Part 1</t>
        </is>
      </c>
      <c r="C2" s="14" t="inlineStr">
        <is>
          <t>B</t>
        </is>
      </c>
      <c r="D2" s="14" t="inlineStr">
        <is>
          <t>Number 1. Look at the picture marked Number 1 in your test book.
(A) She is writing on a whiteboard.
(B) She is working on a laptop computer.
(C) She is answering a telephone call.
(D) She is filing documents into a cabinet.</t>
        </is>
      </c>
      <c r="E2" s="14" t="inlineStr">
        <is>
          <t>1번. 시험지에 1번으로 표시된 사진을 보십시오.
(A) 여자가 화이트보드에 글을 쓰고 있다.
(B) 여자가 노트북 컴퓨터로 작업을 하고 있다.
(C) 여자가 전화를 받고 있다.
(D) 여자가 서류철을 캐비닛에 정리하고 있다.</t>
        </is>
      </c>
      <c r="F2" s="14" t="inlineStr">
        <is>
          <t>[정답 분석]
사진 속 인물이 책상에 앉아 노트북 컴퓨터 키보드를 다루며 화면을 보고 있는 동작이므로 (B) working on a laptop computer가 정답입니다.
[오답 소거]
(A) 보드에 필기 동작 없음
(C) 수화기를 들고 있지 않음
(D) 캐비닛 정리 모습 없음</t>
        </is>
      </c>
      <c r="G2" s="14" t="inlineStr">
        <is>
          <t>work on(~에 열중하다/작업하다); laptop computer(노트북); whiteboard(화이트보드); file documents(서류를 철하다)</t>
        </is>
      </c>
    </row>
    <row r="3" ht="55" customHeight="1">
      <c r="A3" s="5" t="inlineStr">
        <is>
          <t>Q2</t>
        </is>
      </c>
      <c r="B3" s="5" t="inlineStr">
        <is>
          <t>Part 2</t>
        </is>
      </c>
      <c r="C3" s="6" t="inlineStr">
        <is>
          <t>B</t>
        </is>
      </c>
      <c r="D3" s="6" t="inlineStr">
        <is>
          <t>Number 2. When is the quarterly financial report scheduled to be submitted?
(A) Yes, Mr. Harris already approved it.
(B) By Friday afternoon at five o'clock.
(C) In the main conference hall on the second floor.</t>
        </is>
      </c>
      <c r="E3" s="6" t="inlineStr">
        <is>
          <t>2번. 분기 재무 보고서는 언제 제출될 예정입니까?
(A) 네, 해리스 씨가 이미 승인했습니다.
(B) 금요일 오후 5시까지입니다.
(C) 2층 메인 컨퍼런스 홀에서입니다.</t>
        </is>
      </c>
      <c r="F3" s="6" t="inlineStr">
        <is>
          <t>[정답 분석]
'When(언제)' 의문사 의문문에는 시점/시간 표현이 정답입니다. 마감 시한을 구체적으로 알려준 (B)가 정답입니다.
[오답 소거]
(A) 의문사 의문문에는 Yes/No 응답 불가(토익 1초 소거 공식!)
(C) Where(어디서) 질문에 어울리는 장소 응답</t>
        </is>
      </c>
      <c r="G3" s="6" t="inlineStr">
        <is>
          <t>quarterly(분기의); financial report(재무 보고서); be scheduled to(~할 예정이다); by Friday(금요일까지)</t>
        </is>
      </c>
    </row>
    <row r="4" ht="55" customHeight="1">
      <c r="A4" s="13" t="inlineStr">
        <is>
          <t>Q3</t>
        </is>
      </c>
      <c r="B4" s="13" t="inlineStr">
        <is>
          <t>Part 3</t>
        </is>
      </c>
      <c r="C4" s="14" t="inlineStr">
        <is>
          <t>C</t>
        </is>
      </c>
      <c r="D4" s="14" t="inlineStr">
        <is>
          <t>Man: Hi Sarah, has the client presentation schedule for tomorrow morning been confirmed?
Woman: Actually, Mr. Richardson called and asked to postpone our meeting to 2:00 P.M. because of a flight delay.
Man: I see. Could you send an updated calendar invitation to everyone on the team?
Woman: Sure, I will email the revised schedule right away.</t>
        </is>
      </c>
      <c r="E4" s="14" t="inlineStr">
        <is>
          <t>남: 안녕하세요 사라, 내일 아침 고객 프레젠테이션 일정이 확정되었나요?
여: 사실 리처드슨 씨가 비행기 지연 때문에 미팅을 오후 2시로 연기해 달라고 전화했습니다.
남: 그렇군요. 팀의 모든 분들에게 수정된 캘린더 초대장을 보내주실 수 있나요?
여: 물론이죠, 수정된 일정을 즉시 이메일로 발송하겠습니다.</t>
        </is>
      </c>
      <c r="F4" s="14" t="inlineStr">
        <is>
          <t>[정답 분석]
남자가 'Could you send an updated calendar invitation...?'라고 요청하고 여자가 'Sure, I will email the revised schedule'로 화답하므로 (C) Email an updated meeting invitation이 정답입니다.</t>
        </is>
      </c>
      <c r="G4" s="14" t="inlineStr">
        <is>
          <t>postpone(~을 연기하다); flight delay(비행 지연); updated calendar invitation(수정된 캘린더 초대장); revised schedule(수정 일정)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45" customWidth="1" min="4" max="4"/>
    <col width="45" customWidth="1" min="5" max="5"/>
    <col width="42" customWidth="1" min="6" max="6"/>
    <col width="35" customWidth="1" min="7" max="7"/>
  </cols>
  <sheetData>
    <row r="1" ht="32" customHeight="1">
      <c r="A1" s="15" t="inlineStr">
        <is>
          <t>문항 번호</t>
        </is>
      </c>
      <c r="B1" s="15" t="inlineStr">
        <is>
          <t>파트 구분</t>
        </is>
      </c>
      <c r="C1" s="15" t="inlineStr">
        <is>
          <t>정답</t>
        </is>
      </c>
      <c r="D1" s="15" t="inlineStr">
        <is>
          <t>본문 지문 직독직해</t>
        </is>
      </c>
      <c r="E1" s="15" t="inlineStr">
        <is>
          <t>정답 도출 공식 및 문법 분석</t>
        </is>
      </c>
      <c r="F1" s="15" t="inlineStr">
        <is>
          <t>오답 함정 피하기 팁</t>
        </is>
      </c>
      <c r="G1" s="15" t="inlineStr">
        <is>
          <t>필수 어휘 및 패러프레이징 족보</t>
        </is>
      </c>
    </row>
    <row r="2" ht="55" customHeight="1">
      <c r="A2" s="13" t="inlineStr">
        <is>
          <t>Q4</t>
        </is>
      </c>
      <c r="B2" s="13" t="inlineStr">
        <is>
          <t>Part 5</t>
        </is>
      </c>
      <c r="C2" s="14" t="inlineStr">
        <is>
          <t>B</t>
        </is>
      </c>
      <c r="D2" s="14" t="inlineStr">
        <is>
          <t>모든 팀 관리자들은 / 수정된 분기 재무제표를 철저하게 검토해야 한다 / 이사회에 제출하기 전에.</t>
        </is>
      </c>
      <c r="E2" s="14" t="inlineStr">
        <is>
          <t>[공식: 주어 + 타동사 + 목적어 + 부사 자리]
타동사구 review the statement 뒤에서 동사 review를 수식하는 성분은 부사(-ly) 자리입니다. 따라서 부사 (B) thoroughly가 정답입니다.</t>
        </is>
      </c>
      <c r="F2" s="14" t="inlineStr">
        <is>
          <t>빈칸 뒤에 명사가 없으므로 목적어 명사를 수식하는 형용사 (A) thorough나 명사 (C) thoroughness는 오답입니다.</t>
        </is>
      </c>
      <c r="G2" s="14" t="inlineStr">
        <is>
          <t>supervisor(관리자); revised(수정된); thoroughly(철저하게, 빈틈없이); executive board(이사회)</t>
        </is>
      </c>
    </row>
    <row r="3" ht="55" customHeight="1">
      <c r="A3" s="5" t="inlineStr">
        <is>
          <t>Q5</t>
        </is>
      </c>
      <c r="B3" s="5" t="inlineStr">
        <is>
          <t>Part 5</t>
        </is>
      </c>
      <c r="C3" s="6" t="inlineStr">
        <is>
          <t>A</t>
        </is>
      </c>
      <c r="D3" s="6" t="inlineStr">
        <is>
          <t>해외 운송료의 전례 없는 인상에도 불구하고, / 넥시스 글로벌은 분기 역대 최고 매출을 달성해냈다.</t>
        </is>
      </c>
      <c r="E3" s="6" t="inlineStr">
        <is>
          <t>[공식: 전치사 vs 접속사 구별]
콤마(,) 앞은 동사가 없는 명사구(the unprecedented rise...)이므로 전치사 자리입니다. 문맥상 원자재 상승 '불구하고' 수익 증대이므로 양보 전치사 (A) Despite가 정답입니다.</t>
        </is>
      </c>
      <c r="F3" s="6" t="inlineStr">
        <is>
          <t>(B) Although와 (D) Because는 접속사이므로 뒤에 절(S+V)이 와야 하므로 탈락! (C) Furthermore는 부사이므로 연결 불가.</t>
        </is>
      </c>
      <c r="G3" s="6" t="inlineStr">
        <is>
          <t>unprecedented(전례 없는); shipping fee(운송료); manage to do(가까스로 해내다); quarterly revenue(분기 매출)</t>
        </is>
      </c>
    </row>
    <row r="4" ht="55" customHeight="1">
      <c r="A4" s="13" t="inlineStr">
        <is>
          <t>Q6</t>
        </is>
      </c>
      <c r="B4" s="13" t="inlineStr">
        <is>
          <t>Part 5</t>
        </is>
      </c>
      <c r="C4" s="14" t="inlineStr">
        <is>
          <t>A</t>
        </is>
      </c>
      <c r="D4" s="14" t="inlineStr">
        <is>
          <t>모든 공장 직원들은 / 정부가 제정한 산업 안전 규정을 준수하도록 / 엄격히 의무화되어 있다.</t>
        </is>
      </c>
      <c r="E4" s="14" t="inlineStr">
        <is>
          <t>[공식: 자동사 + 전치사 필수 연어(Collocation)]
빈칸 뒤 전치사 'with'와 결합하여 '~을 준수하다'를 나타내는 자동사는 comply입니다. (comply with)</t>
        </is>
      </c>
      <c r="F4" s="14" t="inlineStr">
        <is>
          <t>adhere는 전치사 to와 결합(adhere to), observe와 fulfill은 타동사이므로 전치사 with가 오면 오답!</t>
        </is>
      </c>
      <c r="G4" s="14" t="inlineStr">
        <is>
          <t>mandated(의무화된); comply with(~을 준수하다); adhere to(~을 지키다); safety regulations(안전 수칙)</t>
        </is>
      </c>
    </row>
    <row r="5" ht="55" customHeight="1">
      <c r="A5" s="5" t="inlineStr">
        <is>
          <t>Q7</t>
        </is>
      </c>
      <c r="B5" s="5" t="inlineStr">
        <is>
          <t>Part 6</t>
        </is>
      </c>
      <c r="C5" s="6" t="inlineStr">
        <is>
          <t>A</t>
        </is>
      </c>
      <c r="D5" s="6" t="inlineStr">
        <is>
          <t>다음 주 월요일부터, / 본사는 4층과 5층의 대규모 실내 리모델링 공사를 진행할 예정입니다. / [따라서], 이 부서들의 모든 직원들은 공사가 끝날 때까지 원격 근무를 권장합니다.</t>
        </is>
      </c>
      <c r="E5" s="6" t="inlineStr">
        <is>
          <t>[공식: 문맥 접속부사 인과 관계 판별]
앞 문장에서 대규모 공사가 시작된다는 원인이 제시되고, 그 결과로 직원들에게 재택근무를 권장하므로 인과 접속부사 (A) Therefore가 정답입니다.</t>
        </is>
      </c>
      <c r="F5" s="6" t="inlineStr">
        <is>
          <t>(B) However(그러나 - 역접), (C) Otherwise(그렇지 않으면), (D) Meanwhile(한편)은 문맥 흐름과 반대입니다.</t>
        </is>
      </c>
      <c r="G5" s="6" t="inlineStr">
        <is>
          <t>headquarters(본사); undergo(겪다); extensive renovation(대규모 보수공사); work remotely(원격 근무하다)</t>
        </is>
      </c>
    </row>
    <row r="6" ht="55" customHeight="1">
      <c r="A6" s="13" t="inlineStr">
        <is>
          <t>Q8</t>
        </is>
      </c>
      <c r="B6" s="13" t="inlineStr">
        <is>
          <t>Part 7</t>
        </is>
      </c>
      <c r="C6" s="14" t="inlineStr">
        <is>
          <t>A</t>
        </is>
      </c>
      <c r="D6" s="14" t="inlineStr">
        <is>
          <t>12월 1일부로 출장 경비 환급 정책이 개정되어 시행됩니다. 모든 환급 신청은 출장에서 복귀한 후 근무일 기준 14일 이내에 사내 포털을 통해 제출되어야 합니다.</t>
        </is>
      </c>
      <c r="E6" s="14" t="inlineStr">
        <is>
          <t>[공식: 이메일 첫 단락 목적 파악]
첫 문장의 'will implement an updated policy regarding business travel expense reimbursements'에서 출장비 환급 정책 변경 공지임을 알 수 있으므로 (A)가 정답입니다.</t>
        </is>
      </c>
      <c r="F6" s="14" t="inlineStr">
        <is>
          <t>(B) 출장 일정 안내, (C) 소프트웨어 다운로드, (D) 신규 직원 소개는 본문 내용과 무관합니다.</t>
        </is>
      </c>
      <c r="G6" s="14" t="inlineStr">
        <is>
          <t>reimbursement(환급); effective + 날짜(~부로 발효되는); implement(시행하다); designated timeframe(지정 기간)</t>
        </is>
      </c>
    </row>
    <row r="7" ht="55" customHeight="1">
      <c r="A7" s="5" t="inlineStr">
        <is>
          <t>Q9</t>
        </is>
      </c>
      <c r="B7" s="5" t="inlineStr">
        <is>
          <t>Part 7</t>
        </is>
      </c>
      <c r="C7" s="6" t="inlineStr">
        <is>
          <t>B</t>
        </is>
      </c>
      <c r="D7" s="6" t="inlineStr">
        <is>
          <t>종이 영수증은 더 이상 접수되지 않습니다. 직원들은 숙박 및 교통비를 포함한 모든 원본 영수증의 선명한 디지털 스캔본 또는 사진을 업로드해야 합니다.</t>
        </is>
      </c>
      <c r="E7" s="6" t="inlineStr">
        <is>
          <t>[공식: 실전 패러프레이징(말바꿔쓰기) 매칭]
본문의 'physical paper receipts no longer accepted, upload digital scans or photos'가 선지의 (B) provided in an electronic format으로 전환된 정답입니다.</t>
        </is>
      </c>
      <c r="F7" s="6" t="inlineStr">
        <is>
          <t>(A) 우편 발송은 본문과 정반대 내용, (C) 식비 제외 여부는 언급 없음, (D) 사전 승인은 본문 근거가 없습니다.</t>
        </is>
      </c>
      <c r="G7" s="6" t="inlineStr">
        <is>
          <t>physical receipt(종이 영수증); upload digital scan(디지털 스캔 업로드); electronic format(전자 형식)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showGridLines="1" workbookViewId="0">
      <pane ySplit="1" topLeftCell="A2" activePane="bottomLeft" state="frozen"/>
      <selection pane="bottomLeft" activeCell="A1" sqref="A1"/>
    </sheetView>
  </sheetViews>
  <sheetFormatPr baseColWidth="8" defaultRowHeight="15"/>
  <cols>
    <col width="12" customWidth="1" min="1" max="1"/>
    <col width="15" customWidth="1" min="2" max="2"/>
    <col width="25" customWidth="1" min="3" max="3"/>
    <col width="42" customWidth="1" min="4" max="4"/>
    <col width="18" customWidth="1" min="5" max="5"/>
    <col width="18" customWidth="1" min="6" max="6"/>
    <col width="18" customWidth="1" min="7" max="7"/>
    <col width="18" customWidth="1" min="8" max="8"/>
    <col width="10" customWidth="1" min="9" max="9"/>
    <col width="45" customWidth="1" min="10" max="10"/>
    <col width="25" customWidth="1" min="11" max="11"/>
  </cols>
  <sheetData>
    <row r="1" ht="32" customHeight="1">
      <c r="A1" s="16" t="inlineStr">
        <is>
          <t>문항 번호</t>
        </is>
      </c>
      <c r="B1" s="16" t="inlineStr">
        <is>
          <t>파트 구분</t>
        </is>
      </c>
      <c r="C1" s="16" t="inlineStr">
        <is>
          <t>출제 카테고리</t>
        </is>
      </c>
      <c r="D1" s="16" t="inlineStr">
        <is>
          <t>고난도 킬러 문제 / 지문</t>
        </is>
      </c>
      <c r="E1" s="16" t="inlineStr">
        <is>
          <t>보기 (A)</t>
        </is>
      </c>
      <c r="F1" s="16" t="inlineStr">
        <is>
          <t>보기 (B)</t>
        </is>
      </c>
      <c r="G1" s="16" t="inlineStr">
        <is>
          <t>보기 (C)</t>
        </is>
      </c>
      <c r="H1" s="16" t="inlineStr">
        <is>
          <t>보기 (D)</t>
        </is>
      </c>
      <c r="I1" s="16" t="inlineStr">
        <is>
          <t>정답</t>
        </is>
      </c>
      <c r="J1" s="16" t="inlineStr">
        <is>
          <t>850점+ 달성 킬러 공식 해설</t>
        </is>
      </c>
      <c r="K1" s="16" t="inlineStr">
        <is>
          <t>실전 CBT 풀기</t>
        </is>
      </c>
    </row>
    <row r="2" ht="55" customHeight="1">
      <c r="A2" s="5" t="inlineStr">
        <is>
          <t>Q10</t>
        </is>
      </c>
      <c r="B2" s="5" t="inlineStr">
        <is>
          <t>★킬러(Red)</t>
        </is>
      </c>
      <c r="C2" s="6" t="inlineStr">
        <is>
          <t>Grammar (가정법 If 생략 도치)</t>
        </is>
      </c>
      <c r="D2" s="6" t="inlineStr">
        <is>
          <t>------- you encounter any technical difficulties during the online assessment, please immediately contact our technical support division.</t>
        </is>
      </c>
      <c r="E2" s="6" t="inlineStr">
        <is>
          <t>Should</t>
        </is>
      </c>
      <c r="F2" s="6" t="inlineStr">
        <is>
          <t>Were</t>
        </is>
      </c>
      <c r="G2" s="6" t="inlineStr">
        <is>
          <t>Had</t>
        </is>
      </c>
      <c r="H2" s="6" t="inlineStr">
        <is>
          <t>Unless</t>
        </is>
      </c>
      <c r="I2" s="6" t="inlineStr">
        <is>
          <t>A</t>
        </is>
      </c>
      <c r="J2" s="5" t="inlineStr">
        <is>
          <t>[고난도 도치 공식]
조건절 'If you should encounter...'에서 접속사 If가 생략되면 조동사 Should가 문두로 도치됩니다! 뒤에 주어(you) + 동사원형(encounter)이 오고 주절이 명령문(please contact...)인 전형적인 Should 도치 킬러 문제입니다.</t>
        </is>
      </c>
      <c r="K2" s="7">
        <f>HYPERLINK("https://srunaic.github.io/Korea_History_Exel_CBT_System/toeic_cbt.html?q=10#q10", "🔥 Q10번 킬러 풀기")</f>
        <v/>
      </c>
    </row>
    <row r="3" ht="55" customHeight="1">
      <c r="A3" s="5" t="inlineStr">
        <is>
          <t>Q11</t>
        </is>
      </c>
      <c r="B3" s="5" t="inlineStr">
        <is>
          <t>★킬러(Red)</t>
        </is>
      </c>
      <c r="C3" s="6" t="inlineStr">
        <is>
          <t>Listening (영국/호주 발음 연음 함정)</t>
        </is>
      </c>
      <c r="D3" s="6" t="inlineStr">
        <is>
          <t>Part 1/2에서 영국·호주 성우의 'r' 발음 탈락 및 'schedule[셰쥴]', 'garage[개라-쥐]', 'water[워-타]' 등 억양 혼동 어휘</t>
        </is>
      </c>
      <c r="E3" s="6" t="inlineStr">
        <is>
          <t>schedule</t>
        </is>
      </c>
      <c r="F3" s="6" t="inlineStr">
        <is>
          <t>process</t>
        </is>
      </c>
      <c r="G3" s="6" t="inlineStr">
        <is>
          <t>garage</t>
        </is>
      </c>
      <c r="H3" s="6" t="inlineStr">
        <is>
          <t>advertisement</t>
        </is>
      </c>
      <c r="I3" s="6" t="inlineStr">
        <is>
          <t>A</t>
        </is>
      </c>
      <c r="J3" s="5" t="inlineStr">
        <is>
          <t>[LC 800+ 족보]
영국식 발음에서는 모음 뒤의 r 발음이 묵음 처리되며 [아-], [어-]로 길게 발음됩니다. schedule은 미국식 [스케쥴] 대신 [셰쥴], advertisement는 [애드버타이즈먼트] 대신 [어드버티스먼트]로 강세가 이동합니다.</t>
        </is>
      </c>
      <c r="K3" s="7">
        <f>HYPERLINK("https://srunaic.github.io/Korea_History_Exel_CBT_System/toeic_cbt.html?q=2#q2", "🔥 LC 발음 집중 훈련")</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2026-10-06T05:11:22Z</dcterms:created>
  <dcterms:modified xmlns:dcterms="http://purl.org/dc/terms/" xmlns:xsi="http://www.w3.org/2001/XMLSchema-instance" xsi:type="dcterms:W3CDTF">2026-10-06T05:11:22Z</dcterms:modified>
</cp:coreProperties>
</file>