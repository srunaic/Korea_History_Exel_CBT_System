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_Listening_실전문항" sheetId="1" state="visible" r:id="rId1"/>
    <sheet xmlns:r="http://schemas.openxmlformats.org/officeDocument/2006/relationships" name="📖_Reading_실전문항" sheetId="2" state="visible" r:id="rId2"/>
    <sheet xmlns:r="http://schemas.openxmlformats.org/officeDocument/2006/relationships" name="💡_Listening_정답해설집" sheetId="3" state="visible" r:id="rId3"/>
    <sheet xmlns:r="http://schemas.openxmlformats.org/officeDocument/2006/relationships" name="💡_Reading_정답해설집" sheetId="4" state="visible" r:id="rId4"/>
    <sheet xmlns:r="http://schemas.openxmlformats.org/officeDocument/2006/relationships" name="★토익_800돌파_킬러공식" sheetId="5" state="visible" r:id="rId5"/>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맑은 고딕"/>
      <b val="1"/>
      <color rgb="00FFFFFF"/>
      <sz val="11"/>
    </font>
    <font>
      <name val="맑은 고딕"/>
      <sz val="10"/>
    </font>
    <font>
      <name val="맑은 고딕"/>
      <b val="1"/>
      <sz val="10"/>
    </font>
    <font>
      <name val="맑은 고딕"/>
      <b val="1"/>
      <color rgb="00004B91"/>
      <sz val="10"/>
      <u val="single"/>
    </font>
  </fonts>
  <fills count="10">
    <fill>
      <patternFill/>
    </fill>
    <fill>
      <patternFill patternType="gray125"/>
    </fill>
    <fill>
      <patternFill patternType="solid">
        <fgColor rgb="001B365D"/>
        <bgColor rgb="001B365D"/>
      </patternFill>
    </fill>
    <fill>
      <patternFill patternType="solid">
        <fgColor rgb="00F0F4F9"/>
        <bgColor rgb="00F0F4F9"/>
      </patternFill>
    </fill>
    <fill>
      <patternFill patternType="solid">
        <fgColor rgb="001D5B41"/>
        <bgColor rgb="001D5B41"/>
      </patternFill>
    </fill>
    <fill>
      <patternFill patternType="solid">
        <fgColor rgb="00F0F7F4"/>
        <bgColor rgb="00F0F7F4"/>
      </patternFill>
    </fill>
    <fill>
      <patternFill patternType="solid">
        <fgColor rgb="003A3B7B"/>
        <bgColor rgb="003A3B7B"/>
      </patternFill>
    </fill>
    <fill>
      <patternFill patternType="solid">
        <fgColor rgb="00F7F7FA"/>
        <bgColor rgb="00F7F7FA"/>
      </patternFill>
    </fill>
    <fill>
      <patternFill patternType="solid">
        <fgColor rgb="0017535B"/>
        <bgColor rgb="0017535B"/>
      </patternFill>
    </fill>
    <fill>
      <patternFill patternType="solid">
        <fgColor rgb="00C00000"/>
        <bgColor rgb="00C00000"/>
      </patternFill>
    </fill>
  </fills>
  <borders count="2">
    <border>
      <left/>
      <right/>
      <top/>
      <bottom/>
      <diagonal/>
    </border>
    <border>
      <left style="thin">
        <color rgb="00D3D9E2"/>
      </left>
      <right style="thin">
        <color rgb="00D3D9E2"/>
      </right>
      <top style="thin">
        <color rgb="00D3D9E2"/>
      </top>
      <bottom style="thin">
        <color rgb="00D3D9E2"/>
      </bottom>
    </border>
  </borders>
  <cellStyleXfs count="1">
    <xf numFmtId="0" fontId="0" fillId="0" borderId="0"/>
  </cellStyleXfs>
  <cellXfs count="17">
    <xf numFmtId="0" fontId="0" fillId="0" borderId="0" pivotButton="0" quotePrefix="0" xfId="0"/>
    <xf numFmtId="0" fontId="1" fillId="2" borderId="1" applyAlignment="1" pivotButton="0" quotePrefix="0" xfId="0">
      <alignment horizontal="center" vertical="center" wrapText="1"/>
    </xf>
    <xf numFmtId="0" fontId="3" fillId="3" borderId="1" applyAlignment="1" pivotButton="0" quotePrefix="0" xfId="0">
      <alignment horizontal="center" vertical="center"/>
    </xf>
    <xf numFmtId="0" fontId="2" fillId="3" borderId="1" applyAlignment="1" pivotButton="0" quotePrefix="0" xfId="0">
      <alignment horizontal="left" vertical="center" wrapText="1"/>
    </xf>
    <xf numFmtId="0" fontId="4" fillId="3"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left" vertical="center" wrapText="1"/>
    </xf>
    <xf numFmtId="0" fontId="4" fillId="0" borderId="1" applyAlignment="1" pivotButton="0" quotePrefix="0" xfId="0">
      <alignment horizontal="center" vertical="center"/>
    </xf>
    <xf numFmtId="0" fontId="1" fillId="4" borderId="1" applyAlignment="1" pivotButton="0" quotePrefix="0" xfId="0">
      <alignment horizontal="center" vertical="center" wrapText="1"/>
    </xf>
    <xf numFmtId="0" fontId="3" fillId="5" borderId="1" applyAlignment="1" pivotButton="0" quotePrefix="0" xfId="0">
      <alignment horizontal="center" vertical="center"/>
    </xf>
    <xf numFmtId="0" fontId="2" fillId="5" borderId="1" applyAlignment="1" pivotButton="0" quotePrefix="0" xfId="0">
      <alignment horizontal="left" vertical="center" wrapText="1"/>
    </xf>
    <xf numFmtId="0" fontId="4" fillId="5" borderId="1" applyAlignment="1" pivotButton="0" quotePrefix="0" xfId="0">
      <alignment horizontal="center" vertical="center"/>
    </xf>
    <xf numFmtId="0" fontId="1" fillId="6" borderId="1" applyAlignment="1" pivotButton="0" quotePrefix="0" xfId="0">
      <alignment horizontal="center" vertical="center" wrapText="1"/>
    </xf>
    <xf numFmtId="0" fontId="3" fillId="7" borderId="1" applyAlignment="1" pivotButton="0" quotePrefix="0" xfId="0">
      <alignment horizontal="center" vertical="center"/>
    </xf>
    <xf numFmtId="0" fontId="2" fillId="7" borderId="1" applyAlignment="1" pivotButton="0" quotePrefix="0" xfId="0">
      <alignment horizontal="left" vertical="center" wrapText="1"/>
    </xf>
    <xf numFmtId="0" fontId="1" fillId="8" borderId="1" applyAlignment="1" pivotButton="0" quotePrefix="0" xfId="0">
      <alignment horizontal="center" vertical="center" wrapText="1"/>
    </xf>
    <xf numFmtId="0" fontId="1"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3"/>
  <sheetViews>
    <sheetView showGridLines="1" workbookViewId="0">
      <pane ySplit="1" topLeftCell="A2" activePane="bottomLeft" state="frozen"/>
      <selection pane="bottomLeft" activeCell="A1" sqref="A1"/>
    </sheetView>
  </sheetViews>
  <sheetFormatPr baseColWidth="8" defaultRowHeight="15"/>
  <cols>
    <col width="12" customWidth="1" min="1" max="1"/>
    <col width="14" customWidth="1" min="2" max="2"/>
    <col width="25" customWidth="1" min="3" max="3"/>
    <col width="42" customWidth="1" min="4" max="4"/>
    <col width="38" customWidth="1" min="5" max="5"/>
    <col width="25" customWidth="1" min="6" max="6"/>
    <col width="25" customWidth="1" min="7" max="7"/>
    <col width="25" customWidth="1" min="8" max="8"/>
    <col width="25" customWidth="1" min="9" max="9"/>
    <col width="10" customWidth="1" min="10" max="10"/>
    <col width="32" customWidth="1" min="11" max="11"/>
  </cols>
  <sheetData>
    <row r="1" ht="32" customHeight="1">
      <c r="A1" s="1" t="inlineStr">
        <is>
          <t>문항 번호</t>
        </is>
      </c>
      <c r="B1" s="1" t="inlineStr">
        <is>
          <t>파트 구분</t>
        </is>
      </c>
      <c r="C1" s="1" t="inlineStr">
        <is>
          <t>출제 카테고리</t>
        </is>
      </c>
      <c r="D1" s="1" t="inlineStr">
        <is>
          <t>듣기 평가 내용 (Question)</t>
        </is>
      </c>
      <c r="E1" s="1" t="inlineStr">
        <is>
          <t>사진 / 지문 안내</t>
        </is>
      </c>
      <c r="F1" s="1" t="inlineStr">
        <is>
          <t>보기 (A)</t>
        </is>
      </c>
      <c r="G1" s="1" t="inlineStr">
        <is>
          <t>보기 (B)</t>
        </is>
      </c>
      <c r="H1" s="1" t="inlineStr">
        <is>
          <t>보기 (C)</t>
        </is>
      </c>
      <c r="I1" s="1" t="inlineStr">
        <is>
          <t>보기 (D)</t>
        </is>
      </c>
      <c r="J1" s="1" t="inlineStr">
        <is>
          <t>정답</t>
        </is>
      </c>
      <c r="K1" s="1" t="inlineStr">
        <is>
          <t>실전 CBT 듣기 &amp; 풀기 (링크)</t>
        </is>
      </c>
    </row>
    <row r="2" ht="52" customHeight="1">
      <c r="A2" s="2" t="inlineStr">
        <is>
          <t>Q1</t>
        </is>
      </c>
      <c r="B2" s="2" t="inlineStr">
        <is>
          <t>Part 1</t>
        </is>
      </c>
      <c r="C2" s="3" t="inlineStr">
        <is>
          <t>Photographs (사무실 1인 동작)</t>
        </is>
      </c>
      <c r="D2" s="3" t="inlineStr">
        <is>
          <t>Look at the picture marked Number 1 in your test book and choose the best statement.</t>
        </is>
      </c>
      <c r="E2" s="3" t="inlineStr">
        <is>
          <t>[관련 사진] 사무실 책상에 앉아 노트북으로 업무를 보고 있는 여성의 모습</t>
        </is>
      </c>
      <c r="F2" s="3" t="inlineStr">
        <is>
          <t>She is writing on a whiteboard.</t>
        </is>
      </c>
      <c r="G2" s="3" t="inlineStr">
        <is>
          <t>She is working on a laptop computer.</t>
        </is>
      </c>
      <c r="H2" s="3" t="inlineStr">
        <is>
          <t>She is answering a telephone call.</t>
        </is>
      </c>
      <c r="I2" s="3" t="inlineStr">
        <is>
          <t>She is filing documents into a cabinet.</t>
        </is>
      </c>
      <c r="J2" s="2" t="inlineStr">
        <is>
          <t>B</t>
        </is>
      </c>
      <c r="K2" s="4">
        <f>HYPERLINK("https://srunaic.github.io/Korea_History_Exel_CBT_System/toeic_cbt.html?q=1#q1", "🎧 Q1번 풀기 (원어민 듣기+사진)")</f>
        <v/>
      </c>
    </row>
    <row r="3" ht="52" customHeight="1">
      <c r="A3" s="5" t="inlineStr">
        <is>
          <t>Q2</t>
        </is>
      </c>
      <c r="B3" s="5" t="inlineStr">
        <is>
          <t>Part 1</t>
        </is>
      </c>
      <c r="C3" s="6" t="inlineStr">
        <is>
          <t>Photographs (야외/공사 현장)</t>
        </is>
      </c>
      <c r="D3" s="6" t="inlineStr">
        <is>
          <t>Look at the picture marked Number 2 in your test book and choose the best statement.</t>
        </is>
      </c>
      <c r="E3" s="6" t="inlineStr">
        <is>
          <t>[관련 사진] 안전모를 쓴 기술자가 공사 도면(설계도)을 펼쳐 들고 검토하는 모습</t>
        </is>
      </c>
      <c r="F3" s="6" t="inlineStr">
        <is>
          <t>He is walking across a footbridge.</t>
        </is>
      </c>
      <c r="G3" s="6" t="inlineStr">
        <is>
          <t>He is inspecting some architectural plans.</t>
        </is>
      </c>
      <c r="H3" s="6" t="inlineStr">
        <is>
          <t>He is operating heavy machinery.</t>
        </is>
      </c>
      <c r="I3" s="6" t="inlineStr">
        <is>
          <t>He is painting an exterior wall.</t>
        </is>
      </c>
      <c r="J3" s="5" t="inlineStr">
        <is>
          <t>B</t>
        </is>
      </c>
      <c r="K3" s="7">
        <f>HYPERLINK("https://srunaic.github.io/Korea_History_Exel_CBT_System/toeic_cbt.html?q=2#q2", "🎧 Q2번 풀기 (원어민 듣기+사진)")</f>
        <v/>
      </c>
    </row>
    <row r="4" ht="52" customHeight="1">
      <c r="A4" s="2" t="inlineStr">
        <is>
          <t>Q3</t>
        </is>
      </c>
      <c r="B4" s="2" t="inlineStr">
        <is>
          <t>Part 1</t>
        </is>
      </c>
      <c r="C4" s="3" t="inlineStr">
        <is>
          <t>Photographs (사물 상태/정물)</t>
        </is>
      </c>
      <c r="D4" s="3" t="inlineStr">
        <is>
          <t>Look at the picture marked Number 3 in your test book and choose the best statement.</t>
        </is>
      </c>
      <c r="E4" s="3" t="inlineStr">
        <is>
          <t>[관련 사진] 회의용 원형 탁자 주위로 의자들이 가지런히 정돈되어 놓여 있는 모습</t>
        </is>
      </c>
      <c r="F4" s="3" t="inlineStr">
        <is>
          <t>Chairs are arranged around a conference table.</t>
        </is>
      </c>
      <c r="G4" s="3" t="inlineStr">
        <is>
          <t>Some boxes are being unloaded from a truck.</t>
        </is>
      </c>
      <c r="H4" s="3" t="inlineStr">
        <is>
          <t>A presenter is speaking to an audience.</t>
        </is>
      </c>
      <c r="I4" s="3" t="inlineStr">
        <is>
          <t>The blinds have been pulled down over the windows.</t>
        </is>
      </c>
      <c r="J4" s="2" t="inlineStr">
        <is>
          <t>A</t>
        </is>
      </c>
      <c r="K4" s="4">
        <f>HYPERLINK("https://srunaic.github.io/Korea_History_Exel_CBT_System/toeic_cbt.html?q=3#q3", "🎧 Q3번 풀기 (원어민 듣기+사진)")</f>
        <v/>
      </c>
    </row>
    <row r="5" ht="52" customHeight="1">
      <c r="A5" s="5" t="inlineStr">
        <is>
          <t>Q4</t>
        </is>
      </c>
      <c r="B5" s="5" t="inlineStr">
        <is>
          <t>Part 1</t>
        </is>
      </c>
      <c r="C5" s="6" t="inlineStr">
        <is>
          <t>Photographs (상점/상품 진열)</t>
        </is>
      </c>
      <c r="D5" s="6" t="inlineStr">
        <is>
          <t>Look at the picture marked Number 4 in your test book and choose the best statement.</t>
        </is>
      </c>
      <c r="E5" s="6" t="inlineStr">
        <is>
          <t>[관련 사진] 매장 진열대 선반 위에 상품들이 줄지어 진열되어 있는 모습</t>
        </is>
      </c>
      <c r="F5" s="6" t="inlineStr">
        <is>
          <t>Merchandise is displayed on store shelves.</t>
        </is>
      </c>
      <c r="G5" s="6" t="inlineStr">
        <is>
          <t>A customer is paying for some groceries at a register.</t>
        </is>
      </c>
      <c r="H5" s="6" t="inlineStr">
        <is>
          <t>A clerk is restocking empty cartons.</t>
        </is>
      </c>
      <c r="I5" s="6" t="inlineStr">
        <is>
          <t>Banners are being hung from the ceiling.</t>
        </is>
      </c>
      <c r="J5" s="5" t="inlineStr">
        <is>
          <t>A</t>
        </is>
      </c>
      <c r="K5" s="7">
        <f>HYPERLINK("https://srunaic.github.io/Korea_History_Exel_CBT_System/toeic_cbt.html?q=4#q4", "🎧 Q4번 풀기 (원어민 듣기+사진)")</f>
        <v/>
      </c>
    </row>
    <row r="6" ht="52" customHeight="1">
      <c r="A6" s="2" t="inlineStr">
        <is>
          <t>Q5</t>
        </is>
      </c>
      <c r="B6" s="2" t="inlineStr">
        <is>
          <t>Part 2</t>
        </is>
      </c>
      <c r="C6" s="3" t="inlineStr">
        <is>
          <t>Question-Response (의문사 When)</t>
        </is>
      </c>
      <c r="D6" s="3" t="inlineStr">
        <is>
          <t>Mark your answer on your answer sheet: [Audio Only]</t>
        </is>
      </c>
      <c r="E6" s="3" t="inlineStr">
        <is>
          <t>[오디오 전용 문항] 질문과 보기를 오직 귀로만 듣고 가장 어울리는 응답 선택</t>
        </is>
      </c>
      <c r="F6" s="3" t="inlineStr">
        <is>
          <t>(A) Yes, Mr. Harris already approved it.</t>
        </is>
      </c>
      <c r="G6" s="3" t="inlineStr">
        <is>
          <t>(B) By Friday afternoon at five o'clock.</t>
        </is>
      </c>
      <c r="H6" s="3" t="inlineStr">
        <is>
          <t>(C) In the main conference hall on the second floor.</t>
        </is>
      </c>
      <c r="I6" s="3" t="inlineStr">
        <is>
          <t>N/A (Part 2는 3지선다)</t>
        </is>
      </c>
      <c r="J6" s="2" t="inlineStr">
        <is>
          <t>B</t>
        </is>
      </c>
      <c r="K6" s="4">
        <f>HYPERLINK("https://srunaic.github.io/Korea_History_Exel_CBT_System/toeic_cbt.html?q=5#q5", "🎧 Q5번 풀기 (원어민 음성)")</f>
        <v/>
      </c>
    </row>
    <row r="7" ht="52" customHeight="1">
      <c r="A7" s="5" t="inlineStr">
        <is>
          <t>Q6</t>
        </is>
      </c>
      <c r="B7" s="5" t="inlineStr">
        <is>
          <t>Part 2</t>
        </is>
      </c>
      <c r="C7" s="6" t="inlineStr">
        <is>
          <t>Question-Response (의문사 Where)</t>
        </is>
      </c>
      <c r="D7" s="6" t="inlineStr">
        <is>
          <t>Mark your answer on your answer sheet: [Audio Only]</t>
        </is>
      </c>
      <c r="E7" s="6" t="inlineStr">
        <is>
          <t>[오디오 전용 문항] 복사기 교체용 잉크 카트리지의 위치를 묻는 질문</t>
        </is>
      </c>
      <c r="F7" s="6" t="inlineStr">
        <is>
          <t>(A) In the storage cabinet next to the breakroom.</t>
        </is>
      </c>
      <c r="G7" s="6" t="inlineStr">
        <is>
          <t>(B) About twenty copies should be enough.</t>
        </is>
      </c>
      <c r="H7" s="6" t="inlineStr">
        <is>
          <t>(C) No, the printer is working fine.</t>
        </is>
      </c>
      <c r="I7" s="6" t="inlineStr">
        <is>
          <t>N/A (Part 2는 3지선다)</t>
        </is>
      </c>
      <c r="J7" s="5" t="inlineStr">
        <is>
          <t>A</t>
        </is>
      </c>
      <c r="K7" s="7">
        <f>HYPERLINK("https://srunaic.github.io/Korea_History_Exel_CBT_System/toeic_cbt.html?q=6#q6", "🎧 Q6번 풀기 (원어민 음성)")</f>
        <v/>
      </c>
    </row>
    <row r="8" ht="52" customHeight="1">
      <c r="A8" s="2" t="inlineStr">
        <is>
          <t>Q7</t>
        </is>
      </c>
      <c r="B8" s="2" t="inlineStr">
        <is>
          <t>Part 2</t>
        </is>
      </c>
      <c r="C8" s="3" t="inlineStr">
        <is>
          <t>Question-Response (의문사 Why/이유)</t>
        </is>
      </c>
      <c r="D8" s="3" t="inlineStr">
        <is>
          <t>Mark your answer on your answer sheet: [Audio Only]</t>
        </is>
      </c>
      <c r="E8" s="3" t="inlineStr">
        <is>
          <t>[오디오 전용 문항] 어제 직원 교육 워크숍이 취소된 이유 청취</t>
        </is>
      </c>
      <c r="F8" s="3" t="inlineStr">
        <is>
          <t>(A) Yes, it was very informative.</t>
        </is>
      </c>
      <c r="G8" s="3" t="inlineStr">
        <is>
          <t>(B) Because the guest speaker's flight was delayed.</t>
        </is>
      </c>
      <c r="H8" s="3" t="inlineStr">
        <is>
          <t>(C) On the third floor auditorium.</t>
        </is>
      </c>
      <c r="I8" s="3" t="inlineStr">
        <is>
          <t>N/A (Part 2는 3지선다)</t>
        </is>
      </c>
      <c r="J8" s="2" t="inlineStr">
        <is>
          <t>B</t>
        </is>
      </c>
      <c r="K8" s="4">
        <f>HYPERLINK("https://srunaic.github.io/Korea_History_Exel_CBT_System/toeic_cbt.html?q=7#q7", "🎧 Q7번 풀기 (원어민 음성)")</f>
        <v/>
      </c>
    </row>
    <row r="9" ht="52" customHeight="1">
      <c r="A9" s="5" t="inlineStr">
        <is>
          <t>Q8</t>
        </is>
      </c>
      <c r="B9" s="5" t="inlineStr">
        <is>
          <t>Part 2</t>
        </is>
      </c>
      <c r="C9" s="6" t="inlineStr">
        <is>
          <t>Question-Response (우회적/회피형 고난도 킬러)</t>
        </is>
      </c>
      <c r="D9" s="6" t="inlineStr">
        <is>
          <t>Mark your answer on your answer sheet: [Audio Only]</t>
        </is>
      </c>
      <c r="E9" s="6" t="inlineStr">
        <is>
          <t>[오디오 전용 문항] 계약 체결일 확정 여부에 대한 제3자 확인 우회적 답변</t>
        </is>
      </c>
      <c r="F9" s="6" t="inlineStr">
        <is>
          <t>(A) Ms. Patel is handling all client communications.</t>
        </is>
      </c>
      <c r="G9" s="6" t="inlineStr">
        <is>
          <t>(B) Yes, at the downtown law office.</t>
        </is>
      </c>
      <c r="H9" s="6" t="inlineStr">
        <is>
          <t>(C) Forty-five dollars per hour.</t>
        </is>
      </c>
      <c r="I9" s="6" t="inlineStr">
        <is>
          <t>N/A (Part 2는 3지선다)</t>
        </is>
      </c>
      <c r="J9" s="5" t="inlineStr">
        <is>
          <t>A</t>
        </is>
      </c>
      <c r="K9" s="7">
        <f>HYPERLINK("https://srunaic.github.io/Korea_History_Exel_CBT_System/toeic_cbt.html?q=8#q8", "🎧 Q8번 풀기 (원어민 음성)")</f>
        <v/>
      </c>
    </row>
    <row r="10" ht="52" customHeight="1">
      <c r="A10" s="2" t="inlineStr">
        <is>
          <t>Q9</t>
        </is>
      </c>
      <c r="B10" s="2" t="inlineStr">
        <is>
          <t>Part 3</t>
        </is>
      </c>
      <c r="C10" s="3" t="inlineStr">
        <is>
          <t>Short Conversation (일정 변경 요청)</t>
        </is>
      </c>
      <c r="D10" s="3" t="inlineStr">
        <is>
          <t>What does the woman ask the man to do?</t>
        </is>
      </c>
      <c r="E10" s="3" t="inlineStr">
        <is>
          <t>[대화 지문] 비행기 연착으로 인한 고객 미팅 시간 연기 및 팀 캘린더 초대장 발송 요청</t>
        </is>
      </c>
      <c r="F10" s="3" t="inlineStr">
        <is>
          <t>Book a flight for tomorrow morning</t>
        </is>
      </c>
      <c r="G10" s="3" t="inlineStr">
        <is>
          <t>Postpone an upcoming presentation</t>
        </is>
      </c>
      <c r="H10" s="3" t="inlineStr">
        <is>
          <t>Email an updated meeting invitation</t>
        </is>
      </c>
      <c r="I10" s="3" t="inlineStr">
        <is>
          <t>Prepare a financial document</t>
        </is>
      </c>
      <c r="J10" s="2" t="inlineStr">
        <is>
          <t>C</t>
        </is>
      </c>
      <c r="K10" s="4">
        <f>HYPERLINK("https://srunaic.github.io/Korea_History_Exel_CBT_System/toeic_cbt.html?q=9#q9", "🎧 Q9번 풀기 (원어민 음성)")</f>
        <v/>
      </c>
    </row>
    <row r="11" ht="52" customHeight="1">
      <c r="A11" s="5" t="inlineStr">
        <is>
          <t>Q10</t>
        </is>
      </c>
      <c r="B11" s="5" t="inlineStr">
        <is>
          <t>Part 3</t>
        </is>
      </c>
      <c r="C11" s="6" t="inlineStr">
        <is>
          <t>Short Conversation (장비 고장 및 수리)</t>
        </is>
      </c>
      <c r="D11" s="6" t="inlineStr">
        <is>
          <t>What problem does the man mention?</t>
        </is>
      </c>
      <c r="E11" s="6" t="inlineStr">
        <is>
          <t>[대화 지문] 회의 직전 4층 프린터 용지 걸림 고장으로 다른 부서 프린터를 이용하려는 상황</t>
        </is>
      </c>
      <c r="F11" s="6" t="inlineStr">
        <is>
          <t>A file was accidentally deleted.</t>
        </is>
      </c>
      <c r="G11" s="6" t="inlineStr">
        <is>
          <t>A printer is currently malfunctioning.</t>
        </is>
      </c>
      <c r="H11" s="6" t="inlineStr">
        <is>
          <t>An executive meeting was rescheduled.</t>
        </is>
      </c>
      <c r="I11" s="6" t="inlineStr">
        <is>
          <t>The technician lost the office keys.</t>
        </is>
      </c>
      <c r="J11" s="5" t="inlineStr">
        <is>
          <t>B</t>
        </is>
      </c>
      <c r="K11" s="7">
        <f>HYPERLINK("https://srunaic.github.io/Korea_History_Exel_CBT_System/toeic_cbt.html?q=10#q10", "🎧 Q10번 풀기 (원어민 음성)")</f>
        <v/>
      </c>
    </row>
    <row r="12" ht="52" customHeight="1">
      <c r="A12" s="2" t="inlineStr">
        <is>
          <t>Q11</t>
        </is>
      </c>
      <c r="B12" s="2" t="inlineStr">
        <is>
          <t>Part 4</t>
        </is>
      </c>
      <c r="C12" s="3" t="inlineStr">
        <is>
          <t>Short Talks (사내 공지 방송)</t>
        </is>
      </c>
      <c r="D12" s="3" t="inlineStr">
        <is>
          <t>What is the announcement mainly about?</t>
        </is>
      </c>
      <c r="E12" s="3" t="inlineStr">
        <is>
          <t>[안내 방송] 중앙 냉방 장비 정기 점검으로 인한 2시간 동안의 냉방 시스템 일시 중단 공지</t>
        </is>
      </c>
      <c r="F12" s="3" t="inlineStr">
        <is>
          <t>A temporary suspension of cooling services</t>
        </is>
      </c>
      <c r="G12" s="3" t="inlineStr">
        <is>
          <t>The installation of new security cameras</t>
        </is>
      </c>
      <c r="H12" s="3" t="inlineStr">
        <is>
          <t>An evacuation drill for a fire hazard</t>
        </is>
      </c>
      <c r="I12" s="3" t="inlineStr">
        <is>
          <t>A promotion celebration for the maintenance team</t>
        </is>
      </c>
      <c r="J12" s="2" t="inlineStr">
        <is>
          <t>A</t>
        </is>
      </c>
      <c r="K12" s="4">
        <f>HYPERLINK("https://srunaic.github.io/Korea_History_Exel_CBT_System/toeic_cbt.html?q=11#q11", "🎧 Q11번 풀기 (원어민 음성)")</f>
        <v/>
      </c>
    </row>
    <row r="13" ht="52" customHeight="1">
      <c r="A13" s="5" t="inlineStr">
        <is>
          <t>Q12</t>
        </is>
      </c>
      <c r="B13" s="5" t="inlineStr">
        <is>
          <t>Part 4</t>
        </is>
      </c>
      <c r="C13" s="6" t="inlineStr">
        <is>
          <t>Short Talks (전화 음성 메시지)</t>
        </is>
      </c>
      <c r="D13" s="6" t="inlineStr">
        <is>
          <t>Why is the speaker calling?</t>
        </is>
      </c>
      <c r="E13" s="6" t="inlineStr">
        <is>
          <t>[전화 메시지] 수취인 부재로 배송이 실패하여 재배송 일정을 조율하려는 택배사 음성 메시지</t>
        </is>
      </c>
      <c r="F13" s="6" t="inlineStr">
        <is>
          <t>To confirm an employment interview</t>
        </is>
      </c>
      <c r="G13" s="6" t="inlineStr">
        <is>
          <t>To report an unsuccessful delivery attempt</t>
        </is>
      </c>
      <c r="H13" s="6" t="inlineStr">
        <is>
          <t>To inquire about a damaged product</t>
        </is>
      </c>
      <c r="I13" s="6" t="inlineStr">
        <is>
          <t>To offer a discount on shipping rates</t>
        </is>
      </c>
      <c r="J13" s="5" t="inlineStr">
        <is>
          <t>B</t>
        </is>
      </c>
      <c r="K13" s="7">
        <f>HYPERLINK("https://srunaic.github.io/Korea_History_Exel_CBT_System/toeic_cbt.html?q=12#q12", "🎧 Q12번 풀기 (원어민 음성)")</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9"/>
  <sheetViews>
    <sheetView showGridLines="1" workbookViewId="0">
      <pane ySplit="1" topLeftCell="A2" activePane="bottomLeft" state="frozen"/>
      <selection pane="bottomLeft" activeCell="A1" sqref="A1"/>
    </sheetView>
  </sheetViews>
  <sheetFormatPr baseColWidth="8" defaultRowHeight="15"/>
  <cols>
    <col width="12" customWidth="1" min="1" max="1"/>
    <col width="14" customWidth="1" min="2" max="2"/>
    <col width="25" customWidth="1" min="3" max="3"/>
    <col width="42" customWidth="1" min="4" max="4"/>
    <col width="45" customWidth="1" min="5" max="5"/>
    <col width="22" customWidth="1" min="6" max="6"/>
    <col width="22" customWidth="1" min="7" max="7"/>
    <col width="22" customWidth="1" min="8" max="8"/>
    <col width="22" customWidth="1" min="9" max="9"/>
    <col width="10" customWidth="1" min="10" max="10"/>
    <col width="28" customWidth="1" min="11" max="11"/>
  </cols>
  <sheetData>
    <row r="1" ht="32" customHeight="1">
      <c r="A1" s="8" t="inlineStr">
        <is>
          <t>문항 번호</t>
        </is>
      </c>
      <c r="B1" s="8" t="inlineStr">
        <is>
          <t>파트 구분</t>
        </is>
      </c>
      <c r="C1" s="8" t="inlineStr">
        <is>
          <t>출제 카테고리</t>
        </is>
      </c>
      <c r="D1" s="8" t="inlineStr">
        <is>
          <t>문제 문장 / 질문 (Question)</t>
        </is>
      </c>
      <c r="E1" s="8" t="inlineStr">
        <is>
          <t>독해 본문 지문 (Passage)</t>
        </is>
      </c>
      <c r="F1" s="8" t="inlineStr">
        <is>
          <t>보기 (A)</t>
        </is>
      </c>
      <c r="G1" s="8" t="inlineStr">
        <is>
          <t>보기 (B)</t>
        </is>
      </c>
      <c r="H1" s="8" t="inlineStr">
        <is>
          <t>보기 (C)</t>
        </is>
      </c>
      <c r="I1" s="8" t="inlineStr">
        <is>
          <t>보기 (D)</t>
        </is>
      </c>
      <c r="J1" s="8" t="inlineStr">
        <is>
          <t>정답</t>
        </is>
      </c>
      <c r="K1" s="8" t="inlineStr">
        <is>
          <t>실전 CBT 풀기 (링크)</t>
        </is>
      </c>
    </row>
    <row r="2" ht="52" customHeight="1">
      <c r="A2" s="9" t="inlineStr">
        <is>
          <t>Q13</t>
        </is>
      </c>
      <c r="B2" s="9" t="inlineStr">
        <is>
          <t>Part 5</t>
        </is>
      </c>
      <c r="C2" s="10" t="inlineStr">
        <is>
          <t>Grammar (동사 수식 부사 자리)</t>
        </is>
      </c>
      <c r="D2" s="10" t="inlineStr">
        <is>
          <t>All team supervisors must review the revised quarterly financial statement ------- before submitting it to the executive board.</t>
        </is>
      </c>
      <c r="E2" s="10" t="inlineStr">
        <is>
          <t>N/A</t>
        </is>
      </c>
      <c r="F2" s="10" t="inlineStr">
        <is>
          <t>thorough</t>
        </is>
      </c>
      <c r="G2" s="10" t="inlineStr">
        <is>
          <t>thoroughly</t>
        </is>
      </c>
      <c r="H2" s="10" t="inlineStr">
        <is>
          <t>thoroughness</t>
        </is>
      </c>
      <c r="I2" s="10" t="inlineStr">
        <is>
          <t>more thorough</t>
        </is>
      </c>
      <c r="J2" s="9" t="inlineStr">
        <is>
          <t>B</t>
        </is>
      </c>
      <c r="K2" s="11">
        <f>HYPERLINK("https://srunaic.github.io/Korea_History_Exel_CBT_System/toeic_cbt.html?q=13#q13", "📖 Q13번 풀기 (실전 CBT 풀기)")</f>
        <v/>
      </c>
    </row>
    <row r="3" ht="52" customHeight="1">
      <c r="A3" s="5" t="inlineStr">
        <is>
          <t>Q14</t>
        </is>
      </c>
      <c r="B3" s="5" t="inlineStr">
        <is>
          <t>Part 5</t>
        </is>
      </c>
      <c r="C3" s="6" t="inlineStr">
        <is>
          <t>Grammar (전치사 vs 접속사)</t>
        </is>
      </c>
      <c r="D3" s="6" t="inlineStr">
        <is>
          <t>------- the unprecedented rise in overseas shipping fees, NEXIS Global managed to achieve record-high quarterly revenue.</t>
        </is>
      </c>
      <c r="E3" s="6" t="inlineStr">
        <is>
          <t>N/A</t>
        </is>
      </c>
      <c r="F3" s="6" t="inlineStr">
        <is>
          <t>Despite</t>
        </is>
      </c>
      <c r="G3" s="6" t="inlineStr">
        <is>
          <t>Although</t>
        </is>
      </c>
      <c r="H3" s="6" t="inlineStr">
        <is>
          <t>Furthermore</t>
        </is>
      </c>
      <c r="I3" s="6" t="inlineStr">
        <is>
          <t>Because</t>
        </is>
      </c>
      <c r="J3" s="5" t="inlineStr">
        <is>
          <t>A</t>
        </is>
      </c>
      <c r="K3" s="7">
        <f>HYPERLINK("https://srunaic.github.io/Korea_History_Exel_CBT_System/toeic_cbt.html?q=14#q14", "📖 Q14번 풀기 (실전 CBT 풀기)")</f>
        <v/>
      </c>
    </row>
    <row r="4" ht="52" customHeight="1">
      <c r="A4" s="9" t="inlineStr">
        <is>
          <t>Q15</t>
        </is>
      </c>
      <c r="B4" s="9" t="inlineStr">
        <is>
          <t>Part 5</t>
        </is>
      </c>
      <c r="C4" s="10" t="inlineStr">
        <is>
          <t>Vocabulary (자동사 + 전치사 연어)</t>
        </is>
      </c>
      <c r="D4" s="10" t="inlineStr">
        <is>
          <t>All factory employees are strictly mandated to ------- with the industrial safety regulations established by the government.</t>
        </is>
      </c>
      <c r="E4" s="10" t="inlineStr">
        <is>
          <t>N/A</t>
        </is>
      </c>
      <c r="F4" s="10" t="inlineStr">
        <is>
          <t>comply</t>
        </is>
      </c>
      <c r="G4" s="10" t="inlineStr">
        <is>
          <t>adhere</t>
        </is>
      </c>
      <c r="H4" s="10" t="inlineStr">
        <is>
          <t>observe</t>
        </is>
      </c>
      <c r="I4" s="10" t="inlineStr">
        <is>
          <t>fulfill</t>
        </is>
      </c>
      <c r="J4" s="9" t="inlineStr">
        <is>
          <t>A</t>
        </is>
      </c>
      <c r="K4" s="11">
        <f>HYPERLINK("https://srunaic.github.io/Korea_History_Exel_CBT_System/toeic_cbt.html?q=15#q15", "📖 Q15번 풀기 (실전 CBT 풀기)")</f>
        <v/>
      </c>
    </row>
    <row r="5" ht="52" customHeight="1">
      <c r="A5" s="5" t="inlineStr">
        <is>
          <t>Q16</t>
        </is>
      </c>
      <c r="B5" s="5" t="inlineStr">
        <is>
          <t>Part 5</t>
        </is>
      </c>
      <c r="C5" s="6" t="inlineStr">
        <is>
          <t>Grammar (주어-동사 수일치 &amp; 수동태)</t>
        </is>
      </c>
      <c r="D5" s="6" t="inlineStr">
        <is>
          <t>The newly published handbook for international clients ------- extensive guidelines on overseas taxation policies.</t>
        </is>
      </c>
      <c r="E5" s="6" t="inlineStr">
        <is>
          <t>N/A</t>
        </is>
      </c>
      <c r="F5" s="6" t="inlineStr">
        <is>
          <t>contains</t>
        </is>
      </c>
      <c r="G5" s="6" t="inlineStr">
        <is>
          <t>containing</t>
        </is>
      </c>
      <c r="H5" s="6" t="inlineStr">
        <is>
          <t>contain</t>
        </is>
      </c>
      <c r="I5" s="6" t="inlineStr">
        <is>
          <t>is contained</t>
        </is>
      </c>
      <c r="J5" s="5" t="inlineStr">
        <is>
          <t>A</t>
        </is>
      </c>
      <c r="K5" s="7">
        <f>HYPERLINK("https://srunaic.github.io/Korea_History_Exel_CBT_System/toeic_cbt.html?q=16#q16", "📖 Q16번 풀기 (실전 CBT 풀기)")</f>
        <v/>
      </c>
    </row>
    <row r="6" ht="52" customHeight="1">
      <c r="A6" s="9" t="inlineStr">
        <is>
          <t>Q17</t>
        </is>
      </c>
      <c r="B6" s="9" t="inlineStr">
        <is>
          <t>Part 5</t>
        </is>
      </c>
      <c r="C6" s="10" t="inlineStr">
        <is>
          <t>Vocabulary (형용사 + 명사 연어)</t>
        </is>
      </c>
      <c r="D6" s="10" t="inlineStr">
        <is>
          <t>Ms. Gomez demonstrated ------- leadership during the company's recent operational restructuring.</t>
        </is>
      </c>
      <c r="E6" s="10" t="inlineStr">
        <is>
          <t>N/A</t>
        </is>
      </c>
      <c r="F6" s="10" t="inlineStr">
        <is>
          <t>exceptional</t>
        </is>
      </c>
      <c r="G6" s="10" t="inlineStr">
        <is>
          <t>exceptionally</t>
        </is>
      </c>
      <c r="H6" s="10" t="inlineStr">
        <is>
          <t>exception</t>
        </is>
      </c>
      <c r="I6" s="10" t="inlineStr">
        <is>
          <t>except</t>
        </is>
      </c>
      <c r="J6" s="9" t="inlineStr">
        <is>
          <t>A</t>
        </is>
      </c>
      <c r="K6" s="11">
        <f>HYPERLINK("https://srunaic.github.io/Korea_History_Exel_CBT_System/toeic_cbt.html?q=17#q17", "📖 Q17번 풀기 (실전 CBT 풀기)")</f>
        <v/>
      </c>
    </row>
    <row r="7" ht="52" customHeight="1">
      <c r="A7" s="5" t="inlineStr">
        <is>
          <t>Q18</t>
        </is>
      </c>
      <c r="B7" s="5" t="inlineStr">
        <is>
          <t>Part 5</t>
        </is>
      </c>
      <c r="C7" s="6" t="inlineStr">
        <is>
          <t>Grammar (명사절 접속사/관계사)</t>
        </is>
      </c>
      <c r="D7" s="6" t="inlineStr">
        <is>
          <t>The senior project director hasn't decided ------- the annual marketing symposium will be hosted in Chicago or Atlanta.</t>
        </is>
      </c>
      <c r="E7" s="6" t="inlineStr">
        <is>
          <t>N/A</t>
        </is>
      </c>
      <c r="F7" s="6" t="inlineStr">
        <is>
          <t>whether</t>
        </is>
      </c>
      <c r="G7" s="6" t="inlineStr">
        <is>
          <t>that</t>
        </is>
      </c>
      <c r="H7" s="6" t="inlineStr">
        <is>
          <t>which</t>
        </is>
      </c>
      <c r="I7" s="6" t="inlineStr">
        <is>
          <t>what</t>
        </is>
      </c>
      <c r="J7" s="5" t="inlineStr">
        <is>
          <t>A</t>
        </is>
      </c>
      <c r="K7" s="7">
        <f>HYPERLINK("https://srunaic.github.io/Korea_History_Exel_CBT_System/toeic_cbt.html?q=18#q18", "📖 Q18번 풀기 (실전 CBT 풀기)")</f>
        <v/>
      </c>
    </row>
    <row r="8" ht="52" customHeight="1">
      <c r="A8" s="9" t="inlineStr">
        <is>
          <t>Q19</t>
        </is>
      </c>
      <c r="B8" s="9" t="inlineStr">
        <is>
          <t>Part 5</t>
        </is>
      </c>
      <c r="C8" s="10" t="inlineStr">
        <is>
          <t>Grammar (재귀대명사 강조 용법)</t>
        </is>
      </c>
      <c r="D8" s="10" t="inlineStr">
        <is>
          <t>Because Mr. Henderson was unavailable, the CEO attended the international trade gala ------- to accept the award.</t>
        </is>
      </c>
      <c r="E8" s="10" t="inlineStr">
        <is>
          <t>N/A</t>
        </is>
      </c>
      <c r="F8" s="10" t="inlineStr">
        <is>
          <t>himself</t>
        </is>
      </c>
      <c r="G8" s="10" t="inlineStr">
        <is>
          <t>him</t>
        </is>
      </c>
      <c r="H8" s="10" t="inlineStr">
        <is>
          <t>his</t>
        </is>
      </c>
      <c r="I8" s="10" t="inlineStr">
        <is>
          <t>he</t>
        </is>
      </c>
      <c r="J8" s="9" t="inlineStr">
        <is>
          <t>A</t>
        </is>
      </c>
      <c r="K8" s="11">
        <f>HYPERLINK("https://srunaic.github.io/Korea_History_Exel_CBT_System/toeic_cbt.html?q=19#q19", "📖 Q19번 풀기 (실전 CBT 풀기)")</f>
        <v/>
      </c>
    </row>
    <row r="9" ht="52" customHeight="1">
      <c r="A9" s="5" t="inlineStr">
        <is>
          <t>Q20</t>
        </is>
      </c>
      <c r="B9" s="5" t="inlineStr">
        <is>
          <t>Part 5</t>
        </is>
      </c>
      <c r="C9" s="6" t="inlineStr">
        <is>
          <t>Vocabulary (빈출 부사 어휘)</t>
        </is>
      </c>
      <c r="D9" s="6" t="inlineStr">
        <is>
          <t>Due to scheduled track maintenance, regional passenger trains will run less ------- between Philadelphia and Baltimore.</t>
        </is>
      </c>
      <c r="E9" s="6" t="inlineStr">
        <is>
          <t>N/A</t>
        </is>
      </c>
      <c r="F9" s="6" t="inlineStr">
        <is>
          <t>frequently</t>
        </is>
      </c>
      <c r="G9" s="6" t="inlineStr">
        <is>
          <t>hardly</t>
        </is>
      </c>
      <c r="H9" s="6" t="inlineStr">
        <is>
          <t>closely</t>
        </is>
      </c>
      <c r="I9" s="6" t="inlineStr">
        <is>
          <t>shortly</t>
        </is>
      </c>
      <c r="J9" s="5" t="inlineStr">
        <is>
          <t>A</t>
        </is>
      </c>
      <c r="K9" s="7">
        <f>HYPERLINK("https://srunaic.github.io/Korea_History_Exel_CBT_System/toeic_cbt.html?q=20#q20", "📖 Q20번 풀기 (실전 CBT 풀기)")</f>
        <v/>
      </c>
    </row>
    <row r="10" ht="52" customHeight="1">
      <c r="A10" s="9" t="inlineStr">
        <is>
          <t>Q21</t>
        </is>
      </c>
      <c r="B10" s="9" t="inlineStr">
        <is>
          <t>Part 5</t>
        </is>
      </c>
      <c r="C10" s="10" t="inlineStr">
        <is>
          <t>Grammar (분사 형용사 능동 vs 수동)</t>
        </is>
      </c>
      <c r="D10" s="10" t="inlineStr">
        <is>
          <t>Enclosed is the ------- estimate for the proposed corporate office renovation project.</t>
        </is>
      </c>
      <c r="E10" s="10" t="inlineStr">
        <is>
          <t>N/A</t>
        </is>
      </c>
      <c r="F10" s="10" t="inlineStr">
        <is>
          <t>revised</t>
        </is>
      </c>
      <c r="G10" s="10" t="inlineStr">
        <is>
          <t>revising</t>
        </is>
      </c>
      <c r="H10" s="10" t="inlineStr">
        <is>
          <t>revise</t>
        </is>
      </c>
      <c r="I10" s="10" t="inlineStr">
        <is>
          <t>revision</t>
        </is>
      </c>
      <c r="J10" s="9" t="inlineStr">
        <is>
          <t>A</t>
        </is>
      </c>
      <c r="K10" s="11">
        <f>HYPERLINK("https://srunaic.github.io/Korea_History_Exel_CBT_System/toeic_cbt.html?q=21#q21", "📖 Q21번 풀기 (실전 CBT 풀기)")</f>
        <v/>
      </c>
    </row>
    <row r="11" ht="52" customHeight="1">
      <c r="A11" s="5" t="inlineStr">
        <is>
          <t>Q22</t>
        </is>
      </c>
      <c r="B11" s="5" t="inlineStr">
        <is>
          <t>Part 5</t>
        </is>
      </c>
      <c r="C11" s="6" t="inlineStr">
        <is>
          <t>★킬러 (도치/가정법 If 생략)</t>
        </is>
      </c>
      <c r="D11" s="6" t="inlineStr">
        <is>
          <t>------- you encounter any technical difficulties during the online assessment, please immediately contact our technical support division.</t>
        </is>
      </c>
      <c r="E11" s="6" t="inlineStr">
        <is>
          <t>N/A</t>
        </is>
      </c>
      <c r="F11" s="6" t="inlineStr">
        <is>
          <t>Should</t>
        </is>
      </c>
      <c r="G11" s="6" t="inlineStr">
        <is>
          <t>Were</t>
        </is>
      </c>
      <c r="H11" s="6" t="inlineStr">
        <is>
          <t>Had</t>
        </is>
      </c>
      <c r="I11" s="6" t="inlineStr">
        <is>
          <t>Unless</t>
        </is>
      </c>
      <c r="J11" s="5" t="inlineStr">
        <is>
          <t>A</t>
        </is>
      </c>
      <c r="K11" s="7">
        <f>HYPERLINK("https://srunaic.github.io/Korea_History_Exel_CBT_System/toeic_cbt.html?q=22#q22", "📖 Q22번 풀기 (실전 CBT 풀기)")</f>
        <v/>
      </c>
    </row>
    <row r="12" ht="52" customHeight="1">
      <c r="A12" s="9" t="inlineStr">
        <is>
          <t>Q23</t>
        </is>
      </c>
      <c r="B12" s="9" t="inlineStr">
        <is>
          <t>Part 6</t>
        </is>
      </c>
      <c r="C12" s="10" t="inlineStr">
        <is>
          <t>Context &amp; Transition (문맥 접속부사)</t>
        </is>
      </c>
      <c r="D12" s="10" t="inlineStr">
        <is>
          <t>Choose the word that best completes the blank [ 23 ].</t>
        </is>
      </c>
      <c r="E12" s="10" t="inlineStr">
        <is>
          <t>MEMORANDUM
To: All Department Heads
From: Corporate Operations
Date: October 5
Subject: Office Renovation and Remote Work
Starting next Monday, our headquarters will undergo extensive interior renovations on the 4th and 5th floors. [ 23 ], all staff members in these divisions are encouraged to work remotely until construction concludes on October 25.
Employees requiring physical access to company servers must request temporary badge clearance at least 24 hours in advance. [ 24 ] Please direct all inquiries to facility management.</t>
        </is>
      </c>
      <c r="F12" s="10" t="inlineStr">
        <is>
          <t>Therefore</t>
        </is>
      </c>
      <c r="G12" s="10" t="inlineStr">
        <is>
          <t>However</t>
        </is>
      </c>
      <c r="H12" s="10" t="inlineStr">
        <is>
          <t>Otherwise</t>
        </is>
      </c>
      <c r="I12" s="10" t="inlineStr">
        <is>
          <t>Meanwhile</t>
        </is>
      </c>
      <c r="J12" s="9" t="inlineStr">
        <is>
          <t>A</t>
        </is>
      </c>
      <c r="K12" s="11">
        <f>HYPERLINK("https://srunaic.github.io/Korea_History_Exel_CBT_System/toeic_cbt.html?q=23#q23", "📖 Q23번 풀기 (실전 CBT 풀기)")</f>
        <v/>
      </c>
    </row>
    <row r="13" ht="52" customHeight="1">
      <c r="A13" s="5" t="inlineStr">
        <is>
          <t>Q24</t>
        </is>
      </c>
      <c r="B13" s="5" t="inlineStr">
        <is>
          <t>Part 6</t>
        </is>
      </c>
      <c r="C13" s="6" t="inlineStr">
        <is>
          <t>Sentence Insertion (문맥에 알맞은 문장 삽입)</t>
        </is>
      </c>
      <c r="D13" s="6" t="inlineStr">
        <is>
          <t>Choose the sentence that best fits the blank [ 24 ].</t>
        </is>
      </c>
      <c r="E13" s="6" t="inlineStr">
        <is>
          <t>MEMORANDUM
To: All Department Heads
From: Corporate Operations
Date: October 5
Subject: Office Renovation and Remote Work
Starting next Monday, our headquarters will undergo extensive interior renovations on the 4th and 5th floors. [ 23 ], all staff members in these divisions are encouraged to work remotely until construction concludes on October 25.
Employees requiring physical access to company servers must request temporary badge clearance at least 24 hours in advance. [ 24 ] Please direct all inquiries to facility management.</t>
        </is>
      </c>
      <c r="F13" s="6" t="inlineStr">
        <is>
          <t>This will ensure that security protocols remain uncompromised.</t>
        </is>
      </c>
      <c r="G13" s="6" t="inlineStr">
        <is>
          <t>The cafeteria menu will be expanded next week.</t>
        </is>
      </c>
      <c r="H13" s="6" t="inlineStr">
        <is>
          <t>Our annual sales goal has already been achieved.</t>
        </is>
      </c>
      <c r="I13" s="6" t="inlineStr">
        <is>
          <t>Applicants should submit their resumes by email.</t>
        </is>
      </c>
      <c r="J13" s="5" t="inlineStr">
        <is>
          <t>A</t>
        </is>
      </c>
      <c r="K13" s="7">
        <f>HYPERLINK("https://srunaic.github.io/Korea_History_Exel_CBT_System/toeic_cbt.html?q=24#q24", "📖 Q24번 풀기 (실전 CBT 풀기)")</f>
        <v/>
      </c>
    </row>
    <row r="14" ht="52" customHeight="1">
      <c r="A14" s="9" t="inlineStr">
        <is>
          <t>Q25</t>
        </is>
      </c>
      <c r="B14" s="9" t="inlineStr">
        <is>
          <t>Part 6</t>
        </is>
      </c>
      <c r="C14" s="10" t="inlineStr">
        <is>
          <t>Grammar (문맥 동사 시제 추론)</t>
        </is>
      </c>
      <c r="D14" s="10" t="inlineStr">
        <is>
          <t>Choose the word that best completes the blank [ 25 ].</t>
        </is>
      </c>
      <c r="E14" s="10" t="inlineStr">
        <is>
          <t>Dear Valued Customer,
We appreciate your continued trust in Meridian Bank. Over the past six months, our technology team ------- a brand-new mobile banking application designed to provide faster international money transfers. [ 25 ] We are delighted to announce that this app is now available for download.</t>
        </is>
      </c>
      <c r="F14" s="10" t="inlineStr">
        <is>
          <t>has developed</t>
        </is>
      </c>
      <c r="G14" s="10" t="inlineStr">
        <is>
          <t>will develop</t>
        </is>
      </c>
      <c r="H14" s="10" t="inlineStr">
        <is>
          <t>developed</t>
        </is>
      </c>
      <c r="I14" s="10" t="inlineStr">
        <is>
          <t>was developing</t>
        </is>
      </c>
      <c r="J14" s="9" t="inlineStr">
        <is>
          <t>A</t>
        </is>
      </c>
      <c r="K14" s="11">
        <f>HYPERLINK("https://srunaic.github.io/Korea_History_Exel_CBT_System/toeic_cbt.html?q=25#q25", "📖 Q25번 풀기 (실전 CBT 풀기)")</f>
        <v/>
      </c>
    </row>
    <row r="15" ht="52" customHeight="1">
      <c r="A15" s="5" t="inlineStr">
        <is>
          <t>Q26</t>
        </is>
      </c>
      <c r="B15" s="5" t="inlineStr">
        <is>
          <t>Part 6</t>
        </is>
      </c>
      <c r="C15" s="6" t="inlineStr">
        <is>
          <t>Vocabulary (문맥 어휘 완성)</t>
        </is>
      </c>
      <c r="D15" s="6" t="inlineStr">
        <is>
          <t>Choose the word that best completes the blank [ 26 ].</t>
        </is>
      </c>
      <c r="E15" s="6" t="inlineStr">
        <is>
          <t>To register for the upcoming regional leadership conference, participants must submit their application forms along with the required registration fee. Please note that spaces are -------, and reservations will be processed on a first-come, first-served basis. [ 26 ]</t>
        </is>
      </c>
      <c r="F15" s="6" t="inlineStr">
        <is>
          <t>limited</t>
        </is>
      </c>
      <c r="G15" s="6" t="inlineStr">
        <is>
          <t>bound</t>
        </is>
      </c>
      <c r="H15" s="6" t="inlineStr">
        <is>
          <t>narrow</t>
        </is>
      </c>
      <c r="I15" s="6" t="inlineStr">
        <is>
          <t>slight</t>
        </is>
      </c>
      <c r="J15" s="5" t="inlineStr">
        <is>
          <t>A</t>
        </is>
      </c>
      <c r="K15" s="7">
        <f>HYPERLINK("https://srunaic.github.io/Korea_History_Exel_CBT_System/toeic_cbt.html?q=26#q26", "📖 Q26번 풀기 (실전 CBT 풀기)")</f>
        <v/>
      </c>
    </row>
    <row r="16" ht="52" customHeight="1">
      <c r="A16" s="9" t="inlineStr">
        <is>
          <t>Q27</t>
        </is>
      </c>
      <c r="B16" s="9" t="inlineStr">
        <is>
          <t>Part 7</t>
        </is>
      </c>
      <c r="C16" s="10" t="inlineStr">
        <is>
          <t>Main Idea (이메일 공지 목적 파악)</t>
        </is>
      </c>
      <c r="D16" s="10" t="inlineStr">
        <is>
          <t>What is the primary purpose of the notice?</t>
        </is>
      </c>
      <c r="E16" s="10" t="inlineStr">
        <is>
          <t>Notice to All Personnel:
Please be advised that effective December 1, Apex Solutions will implement an updated policy regarding business travel expense reimbursements. Under the new guidelines, all reimbursement requests must be submitted through the internal employee portal within 14 business days of returning from a trip.
Additionally, physical paper receipts will no longer be accepted. Employees must upload clear digital scans or photos of all original receipts, including lodging and transportation costs. Failure to submit claims within the designated timeframe may result in delays or denial of reimbursement.</t>
        </is>
      </c>
      <c r="F16" s="10" t="inlineStr">
        <is>
          <t>To announce changes to expense reimbursement procedures</t>
        </is>
      </c>
      <c r="G16" s="10" t="inlineStr">
        <is>
          <t>To inform staff of upcoming business travel schedules</t>
        </is>
      </c>
      <c r="H16" s="10" t="inlineStr">
        <is>
          <t>To provide instructions on downloading mobile software</t>
        </is>
      </c>
      <c r="I16" s="10" t="inlineStr">
        <is>
          <t>To introduce new personnel in the accounting department</t>
        </is>
      </c>
      <c r="J16" s="9" t="inlineStr">
        <is>
          <t>A</t>
        </is>
      </c>
      <c r="K16" s="11">
        <f>HYPERLINK("https://srunaic.github.io/Korea_History_Exel_CBT_System/toeic_cbt.html?q=27#q27", "📖 Q27번 풀기 (실전 CBT 풀기)")</f>
        <v/>
      </c>
    </row>
    <row r="17" ht="52" customHeight="1">
      <c r="A17" s="5" t="inlineStr">
        <is>
          <t>Q28</t>
        </is>
      </c>
      <c r="B17" s="5" t="inlineStr">
        <is>
          <t>Part 7</t>
        </is>
      </c>
      <c r="C17" s="6" t="inlineStr">
        <is>
          <t>Detail &amp; Paraphrasing (세부정보 매칭)</t>
        </is>
      </c>
      <c r="D17" s="6" t="inlineStr">
        <is>
          <t>According to the notice, what is stated about receipts?</t>
        </is>
      </c>
      <c r="E17" s="6" t="inlineStr">
        <is>
          <t>Notice to All Personnel:
Please be advised that effective December 1, Apex Solutions will implement an updated policy regarding business travel expense reimbursements. Under the new guidelines, all reimbursement requests must be submitted through the internal employee portal within 14 business days of returning from a trip.
Additionally, physical paper receipts will no longer be accepted. Employees must upload clear digital scans or photos of all original receipts, including lodging and transportation costs. Failure to submit claims within the designated timeframe may result in delays or denial of reimbursement.</t>
        </is>
      </c>
      <c r="F17" s="6" t="inlineStr">
        <is>
          <t>Paper receipts must be mailed to the finance team.</t>
        </is>
      </c>
      <c r="G17" s="6" t="inlineStr">
        <is>
          <t>They must be provided in an electronic format.</t>
        </is>
      </c>
      <c r="H17" s="6" t="inlineStr">
        <is>
          <t>Original copies must be submitted in person.</t>
        </is>
      </c>
      <c r="I17" s="6" t="inlineStr">
        <is>
          <t>Receipts under $20 do not require submission.</t>
        </is>
      </c>
      <c r="J17" s="5" t="inlineStr">
        <is>
          <t>B</t>
        </is>
      </c>
      <c r="K17" s="7">
        <f>HYPERLINK("https://srunaic.github.io/Korea_History_Exel_CBT_System/toeic_cbt.html?q=28#q28", "📖 Q28번 풀기 (실전 CBT 풀기)")</f>
        <v/>
      </c>
    </row>
    <row r="18" ht="52" customHeight="1">
      <c r="A18" s="9" t="inlineStr">
        <is>
          <t>Q29</t>
        </is>
      </c>
      <c r="B18" s="9" t="inlineStr">
        <is>
          <t>Part 7</t>
        </is>
      </c>
      <c r="C18" s="10" t="inlineStr">
        <is>
          <t>Invoice &amp; Form (양식/청구서 독해)</t>
        </is>
      </c>
      <c r="D18" s="10" t="inlineStr">
        <is>
          <t>Why is a discount applied to the order?</t>
        </is>
      </c>
      <c r="E18" s="10" t="inlineStr">
        <is>
          <t>INVOICE #49201
Crestview Office Furniture
Date: September 14
Bill To: Horizon Legal Partners
Item Description | Qty | Unit Price | Total
Ergonomic Desk Chairs | 15 | $220.00 | $3,300.00
Conference Table (8-seat) | 2 | $850.00 | $1,700.00
Subtotal: $5,000.00
Corporate Bulk Discount (10%): -$500.00
Delivery Fee: WAIVED (Orders over $1,000)
Total Amount Due: $4,500.00
Payment Terms: Net 30 days</t>
        </is>
      </c>
      <c r="F18" s="10" t="inlineStr">
        <is>
          <t>Because the items were purchased in large quantities</t>
        </is>
      </c>
      <c r="G18" s="10" t="inlineStr">
        <is>
          <t>Because the customer paid in advance using cash</t>
        </is>
      </c>
      <c r="H18" s="10" t="inlineStr">
        <is>
          <t>Because the merchandise was slightly damaged</t>
        </is>
      </c>
      <c r="I18" s="10" t="inlineStr">
        <is>
          <t>Because the order was placed during a holiday sale</t>
        </is>
      </c>
      <c r="J18" s="9" t="inlineStr">
        <is>
          <t>A</t>
        </is>
      </c>
      <c r="K18" s="11">
        <f>HYPERLINK("https://srunaic.github.io/Korea_History_Exel_CBT_System/toeic_cbt.html?q=29#q29", "📖 Q29번 풀기 (실전 CBT 풀기)")</f>
        <v/>
      </c>
    </row>
    <row r="19" ht="52" customHeight="1">
      <c r="A19" s="5" t="inlineStr">
        <is>
          <t>Q30</t>
        </is>
      </c>
      <c r="B19" s="5" t="inlineStr">
        <is>
          <t>Part 7</t>
        </is>
      </c>
      <c r="C19" s="6" t="inlineStr">
        <is>
          <t>★킬러 (2중 지문 연계 추론)</t>
        </is>
      </c>
      <c r="D19" s="6" t="inlineStr">
        <is>
          <t>What is indicated about Horizon Legal Partners?</t>
        </is>
      </c>
      <c r="E19" s="6" t="inlineStr">
        <is>
          <t>INVOICE #49201
Crestview Office Furniture
Date: September 14
Bill To: Horizon Legal Partners
Item Description | Qty | Unit Price | Total
Ergonomic Desk Chairs | 15 | $220.00 | $3,300.00
Conference Table (8-seat) | 2 | $850.00 | $1,700.00
Subtotal: $5,000.00
Corporate Bulk Discount (10%): -$500.00
Delivery Fee: WAIVED (Orders over $1,000)
Total Amount Due: $4,500.00
Payment Terms: Net 30 days</t>
        </is>
      </c>
      <c r="F19" s="6" t="inlineStr">
        <is>
          <t>They did not have to pay for shipping.</t>
        </is>
      </c>
      <c r="G19" s="6" t="inlineStr">
        <is>
          <t>They will receive their order by September 20.</t>
        </is>
      </c>
      <c r="H19" s="6" t="inlineStr">
        <is>
          <t>They ordered customized executive desks.</t>
        </is>
      </c>
      <c r="I19" s="6" t="inlineStr">
        <is>
          <t>They must pay the total amount immediately.</t>
        </is>
      </c>
      <c r="J19" s="5" t="inlineStr">
        <is>
          <t>A</t>
        </is>
      </c>
      <c r="K19" s="7">
        <f>HYPERLINK("https://srunaic.github.io/Korea_History_Exel_CBT_System/toeic_cbt.html?q=30#q30", "📖 Q30번 풀기 (실전 CBT 풀기)")</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showGridLines="1" workbookViewId="0">
      <pane ySplit="1" topLeftCell="A2" activePane="bottomLeft" state="frozen"/>
      <selection pane="bottomLeft" activeCell="A1" sqref="A1"/>
    </sheetView>
  </sheetViews>
  <sheetFormatPr baseColWidth="8" defaultRowHeight="15"/>
  <cols>
    <col width="12" customWidth="1" min="1" max="1"/>
    <col width="14" customWidth="1" min="2" max="2"/>
    <col width="10" customWidth="1" min="3" max="3"/>
    <col width="45" customWidth="1" min="4" max="4"/>
    <col width="42" customWidth="1" min="5" max="5"/>
    <col width="45" customWidth="1" min="6" max="6"/>
    <col width="35" customWidth="1" min="7" max="7"/>
  </cols>
  <sheetData>
    <row r="1" ht="32" customHeight="1">
      <c r="A1" s="12" t="inlineStr">
        <is>
          <t>문항 번호</t>
        </is>
      </c>
      <c r="B1" s="12" t="inlineStr">
        <is>
          <t>파트 구분</t>
        </is>
      </c>
      <c r="C1" s="12" t="inlineStr">
        <is>
          <t>정답</t>
        </is>
      </c>
      <c r="D1" s="12" t="inlineStr">
        <is>
          <t>음성 원문 스크립트 (Listening Script)</t>
        </is>
      </c>
      <c r="E1" s="12" t="inlineStr">
        <is>
          <t>우리말 전문 해석</t>
        </is>
      </c>
      <c r="F1" s="12" t="inlineStr">
        <is>
          <t>정답 도출 근거 및 1초 소거법</t>
        </is>
      </c>
      <c r="G1" s="12" t="inlineStr">
        <is>
          <t>핵심 필수 어휘 &amp; 표현</t>
        </is>
      </c>
    </row>
    <row r="2" ht="60" customHeight="1">
      <c r="A2" s="13" t="inlineStr">
        <is>
          <t>Q1</t>
        </is>
      </c>
      <c r="B2" s="13" t="inlineStr">
        <is>
          <t>Part 1</t>
        </is>
      </c>
      <c r="C2" s="14" t="inlineStr">
        <is>
          <t>B</t>
        </is>
      </c>
      <c r="D2" s="14" t="inlineStr">
        <is>
          <t>Number 1. Look at the picture marked Number 1 in your test book. (A) She is writing on a whiteboard. (B) She is working on a laptop computer. (C) She is answering a telephone call. (D) She is filing documents into a cabinet.</t>
        </is>
      </c>
      <c r="E2" s="14" t="inlineStr">
        <is>
          <t>1번. 시험지에 1번으로 표시된 사진을 보십시오.
(A) 여자가 화이트보드에 글을 쓰고 있다.
(B) 여자가 노트북 컴퓨터로 작업을 하고 있다.
(C) 여자가 전화를 받고 있다.
(D) 여자가 서류철을 캐비닛에 정리하고 있다.</t>
        </is>
      </c>
      <c r="F2" s="14" t="inlineStr">
        <is>
          <t>[정답 분석] 사진 속 여성이 책상에 앉아 노트북 컴퓨터를 조작하고 있으므로 (B) working on a laptop computer가 정답입니다.
[오답 소거]
(A) 보드에 글씨 쓰는 동작 없음
(C) 전화 통화 중이지 않음
(D) 캐비닛 정리 모습 없음</t>
        </is>
      </c>
      <c r="G2" s="14" t="inlineStr">
        <is>
          <t>work on(~에 열중하다/작업하다); laptop computer(노트북); whiteboard(화이트보드); file documents(서류를 철하다)</t>
        </is>
      </c>
    </row>
    <row r="3" ht="60" customHeight="1">
      <c r="A3" s="5" t="inlineStr">
        <is>
          <t>Q2</t>
        </is>
      </c>
      <c r="B3" s="5" t="inlineStr">
        <is>
          <t>Part 1</t>
        </is>
      </c>
      <c r="C3" s="6" t="inlineStr">
        <is>
          <t>B</t>
        </is>
      </c>
      <c r="D3" s="6" t="inlineStr">
        <is>
          <t>Number 2. Look at the picture marked Number 2 in your test book. (A) He is walking across a footbridge. (B) He is inspecting some architectural plans. (C) He is operating heavy machinery. (D) He is painting an exterior wall.</t>
        </is>
      </c>
      <c r="E3" s="6" t="inlineStr">
        <is>
          <t>2번. 시험지에 2번으로 표시된 사진을 보십시오.
(A) 남자가 육교를 건너고 있다.
(B) 남자가 건축 도면을 검토하고 있다.
(C) 남자가 중장비를 조작하고 있다.
(D) 남자가 외벽을 페인트칠하고 있다.</t>
        </is>
      </c>
      <c r="F3" s="6" t="inlineStr">
        <is>
          <t>[정답 분석] 안전모와 조끼를 입은 엔지니어가 청사진(설계 도면)을 주의 깊게 바라보는 사진이므로 (B) inspecting some architectural plans가 100% 정답입니다.
[오답 소거]
(A) 다리를 걷는 모습 없음
(C) 중장비 탑승/조작 없음
(D) 페인트 도색 작업 없음</t>
        </is>
      </c>
      <c r="G3" s="6" t="inlineStr">
        <is>
          <t>inspect(검토하다, 시찰하다); architectural plans(건축 설계도); operate heavy machinery(중장비를 조작하다); exterior wall(외벽)</t>
        </is>
      </c>
    </row>
    <row r="4" ht="60" customHeight="1">
      <c r="A4" s="13" t="inlineStr">
        <is>
          <t>Q3</t>
        </is>
      </c>
      <c r="B4" s="13" t="inlineStr">
        <is>
          <t>Part 1</t>
        </is>
      </c>
      <c r="C4" s="14" t="inlineStr">
        <is>
          <t>A</t>
        </is>
      </c>
      <c r="D4" s="14" t="inlineStr">
        <is>
          <t>Number 3. Look at the picture marked Number 3 in your test book. (A) Chairs are arranged around a conference table. (B) Some boxes are being unloaded from a truck. (C) A presenter is speaking to an audience. (D) The blinds have been pulled down over the windows.</t>
        </is>
      </c>
      <c r="E4" s="14" t="inlineStr">
        <is>
          <t>3번. 시험지에 3번으로 표시된 사진을 보십시오.
(A) 의자들이 회의 탁자 주위에 배치되어 있다.
(B) 상자들이 트럭에서 하역되고 있다.
(C) 발표자가 청중에게 연설하고 있다.
(D) 창문의 블라인드가 내려져 있다.</t>
        </is>
      </c>
      <c r="F4" s="14" t="inlineStr">
        <is>
          <t>[정답 분석] 사람이 없는 회의실 정물 사진으로, 탁자 주위에 의자가 정렬된 상태를 묘사한 (A) Chairs are arranged around a conference table이 정답입니다.
[오답 소거 (기출 킬러 공식)]
(B) 'being unloaded'처럼 사람이 없는데 'be being p.p.(진행형 수동)'가 나오면 99% 오답입니다!</t>
        </is>
      </c>
      <c r="G4" s="14" t="inlineStr">
        <is>
          <t>be arranged around(~주위에 배열되어 있다); conference table(회의 탁자); unload(하역하다); blinds(블라인드)</t>
        </is>
      </c>
    </row>
    <row r="5" ht="60" customHeight="1">
      <c r="A5" s="5" t="inlineStr">
        <is>
          <t>Q4</t>
        </is>
      </c>
      <c r="B5" s="5" t="inlineStr">
        <is>
          <t>Part 1</t>
        </is>
      </c>
      <c r="C5" s="6" t="inlineStr">
        <is>
          <t>A</t>
        </is>
      </c>
      <c r="D5" s="6" t="inlineStr">
        <is>
          <t>Number 4. Look at the picture marked Number 4 in your test book. (A) Merchandise is displayed on store shelves. (B) A customer is paying for some groceries at a register. (C) A clerk is restocking empty cartons. (D) Banners are being hung from the ceiling.</t>
        </is>
      </c>
      <c r="E5" s="6" t="inlineStr">
        <is>
          <t>4번. 시험지에 4번으로 표시된 사진을 보십시오.
(A) 상품들이 매장 선반 위에 진열되어 있다.
(B) 고객이 계산대에서 식료품 값을 지불하고 있다.
(C) 직원이 빈 상자를 다시 채우고 있다.
(D) 천장에 현수막이 걸리고 있다.</t>
        </is>
      </c>
      <c r="F5" s="6" t="inlineStr">
        <is>
          <t>[정답 분석] 상품(Merchandise)이 선반(shelves)에 정돈되어 진열된 상태(is displayed)를 정확히 묘사한 (A)가 정답입니다.</t>
        </is>
      </c>
      <c r="G5" s="6" t="inlineStr">
        <is>
          <t>merchandise(상품, 물품); display on shelves(선반에 진열하다); cashier/register(계산대); restock(재입고하다)</t>
        </is>
      </c>
    </row>
    <row r="6" ht="60" customHeight="1">
      <c r="A6" s="13" t="inlineStr">
        <is>
          <t>Q5</t>
        </is>
      </c>
      <c r="B6" s="13" t="inlineStr">
        <is>
          <t>Part 2</t>
        </is>
      </c>
      <c r="C6" s="14" t="inlineStr">
        <is>
          <t>B</t>
        </is>
      </c>
      <c r="D6" s="14" t="inlineStr">
        <is>
          <t>Number 5. When is the quarterly financial report scheduled to be submitted? (A) Yes, Mr. Harris already approved it. (B) By Friday afternoon at five o'clock. (C) In the main conference hall on the second floor.</t>
        </is>
      </c>
      <c r="E6" s="14" t="inlineStr">
        <is>
          <t>5번. 분기 재무 보고서는 언제 제출될 예정입니까?
(A) 네, 해리스 씨가 이미 승인했습니다.
(B) 금요일 오후 5시까지입니다.
(C) 2층 메인 컨퍼런스 홀에서입니다.</t>
        </is>
      </c>
      <c r="F6" s="14" t="inlineStr">
        <is>
          <t>[정답 분석] 'When(언제)' 의문사 질문이므로 구체적 마감 시한(By Friday afternoon...)을 제시한 (B)가 정답입니다.
[오답 소거 (기출 불변 공식)]
(A) 의문사 의문문에는 Yes/No 응답 불가!
(C) Where 질문에 어울리는 장소 응답</t>
        </is>
      </c>
      <c r="G6" s="14" t="inlineStr">
        <is>
          <t>quarterly(분기의); financial report(재무 보고서); be scheduled to(~할 예정이다); by Friday(금요일까지)</t>
        </is>
      </c>
    </row>
    <row r="7" ht="60" customHeight="1">
      <c r="A7" s="5" t="inlineStr">
        <is>
          <t>Q6</t>
        </is>
      </c>
      <c r="B7" s="5" t="inlineStr">
        <is>
          <t>Part 2</t>
        </is>
      </c>
      <c r="C7" s="6" t="inlineStr">
        <is>
          <t>A</t>
        </is>
      </c>
      <c r="D7" s="6" t="inlineStr">
        <is>
          <t>Number 6. Where can I find the replacement ink cartridges for the copy machine? (A) In the storage cabinet next to the breakroom. (B) About twenty copies should be enough. (C) No, the printer is working fine.</t>
        </is>
      </c>
      <c r="E7" s="6" t="inlineStr">
        <is>
          <t>6번. 복사기용 교체 잉크 카트리지를 어디서 찾을 수 있나요?
(A) 휴게실 옆 수납 캐비닛 안에요.
(B) 약 20부 정도면 충분할 것 같아요.
(C) 아니요, 프린터는 잘 작동하고 있습니다.</t>
        </is>
      </c>
      <c r="F7" s="6" t="inlineStr">
        <is>
          <t>[정답 분석] 'Where(어디서)' 위치를 묻는 질문에 구체적 보관 장소(In the storage cabinet...)를 알려준 (A)가 정답입니다.</t>
        </is>
      </c>
      <c r="G7" s="6" t="inlineStr">
        <is>
          <t>replacement(교체용의); ink cartridge(잉크 카트리지); storage cabinet(보관함); breakroom(휴게실)</t>
        </is>
      </c>
    </row>
    <row r="8" ht="60" customHeight="1">
      <c r="A8" s="13" t="inlineStr">
        <is>
          <t>Q7</t>
        </is>
      </c>
      <c r="B8" s="13" t="inlineStr">
        <is>
          <t>Part 2</t>
        </is>
      </c>
      <c r="C8" s="14" t="inlineStr">
        <is>
          <t>B</t>
        </is>
      </c>
      <c r="D8" s="14" t="inlineStr">
        <is>
          <t>Number 7. Why was yesterday's staff training workshop cancelled? (A) Yes, it was very informative. (B) Because the guest speaker's flight was delayed. (C) On the third floor auditorium.</t>
        </is>
      </c>
      <c r="E8" s="14" t="inlineStr">
        <is>
          <t>7번. 어제 직원 교육 워크숍이 왜 취소되었나요?
(A) 네, 매우 유익했습니다.
(B) 초청 연사의 비행기가 지연되었기 때문입니다.
(C) 3층 강당에서요.</t>
        </is>
      </c>
      <c r="F8" s="14" t="inlineStr">
        <is>
          <t>[정답 분석] 'Why(왜)' 질문에 명확한 인과 원인(Because the guest speaker's flight was delayed)을 밝힌 (B)가 정답입니다.</t>
        </is>
      </c>
      <c r="G8" s="14" t="inlineStr">
        <is>
          <t>staff training workshop(직원 교육 워크숍); informative(유익한); guest speaker(초청 강사); flight delayed(항공편 지연)</t>
        </is>
      </c>
    </row>
    <row r="9" ht="60" customHeight="1">
      <c r="A9" s="5" t="inlineStr">
        <is>
          <t>Q8</t>
        </is>
      </c>
      <c r="B9" s="5" t="inlineStr">
        <is>
          <t>Part 2</t>
        </is>
      </c>
      <c r="C9" s="6" t="inlineStr">
        <is>
          <t>A</t>
        </is>
      </c>
      <c r="D9" s="6" t="inlineStr">
        <is>
          <t>Number 8. Has the client confirmed the date for the contract signing? (A) Ms. Patel is handling all client communications. (B) Yes, at the downtown law office. (C) Forty-five dollars per hour.</t>
        </is>
      </c>
      <c r="E9" s="6" t="inlineStr">
        <is>
          <t>8번. 고객이 계약 체결 날짜를 확정했나요?
(A) 파텔 씨가 모든 고객 연락을 담당하고 있습니다.
(B) 네, 시내 법률 사무소에서요.
(C) 시간당 45달러입니다.</t>
        </is>
      </c>
      <c r="F9" s="6" t="inlineStr">
        <is>
          <t>[정답 분석 (토익 850+ 킬러 공식)]
'내가 잘 모르니 담당자에게 물어봐라 / 다른 사람이 처리하고 있다' 유형의 제3자 회피성 응답은 정기토익 100% 정답 족보입니다! (A)가 정답입니다.</t>
        </is>
      </c>
      <c r="G9" s="6" t="inlineStr">
        <is>
          <t>confirm the date(날짜를 확정하다); contract signing(계약 체결); handle(처리하다, 담당하다); communications(연락, 소통)</t>
        </is>
      </c>
    </row>
    <row r="10" ht="60" customHeight="1">
      <c r="A10" s="13" t="inlineStr">
        <is>
          <t>Q9</t>
        </is>
      </c>
      <c r="B10" s="13" t="inlineStr">
        <is>
          <t>Part 3</t>
        </is>
      </c>
      <c r="C10" s="14" t="inlineStr">
        <is>
          <t>C</t>
        </is>
      </c>
      <c r="D10" s="14" t="inlineStr">
        <is>
          <t>Questions 9. Listen to the conversation.
Man: Hi Sarah, has the client presentation schedule for tomorrow morning been confirmed?
Woman: Actually, Mr. Richardson called and asked to postpone our meeting to 2:00 P.M. because of a flight delay.
Man: I see. Could you send an updated calendar invitation to everyone on the team?
Woman: Sure, I will email the revised schedule right away.</t>
        </is>
      </c>
      <c r="E10" s="14" t="inlineStr">
        <is>
          <t>남: 안녕하세요 사라, 내일 아침 고객 프레젠테이션 일정이 확정되었나요?
여: 사실 리처드슨 씨가 비행기 지연 때문에 미팅을 오후 2시로 연기해 달라고 전화했습니다.
남: 그렇군요. 팀의 모든 분들에게 수정된 캘린더 초대장을 보내주실 수 있나요?
여: 물론이죠, 수정된 일정을 즉시 이메일로 발송하겠습니다.</t>
        </is>
      </c>
      <c r="F10" s="14" t="inlineStr">
        <is>
          <t>[정답 분석] 남자의 'Could you send an updated calendar invitation...?' 요청에 여자가 'Sure, I will email the revised schedule'로 응답하므로 (C) Email an updated meeting invitation이 정답입니다.</t>
        </is>
      </c>
      <c r="G10" s="14" t="inlineStr">
        <is>
          <t>postpone(~을 연기하다); flight delay(비행 지연); updated calendar invitation(수정된 캘린더 초대장); revised schedule(수정 일정)</t>
        </is>
      </c>
    </row>
    <row r="11" ht="60" customHeight="1">
      <c r="A11" s="5" t="inlineStr">
        <is>
          <t>Q10</t>
        </is>
      </c>
      <c r="B11" s="5" t="inlineStr">
        <is>
          <t>Part 3</t>
        </is>
      </c>
      <c r="C11" s="6" t="inlineStr">
        <is>
          <t>B</t>
        </is>
      </c>
      <c r="D11" s="6" t="inlineStr">
        <is>
          <t>Question 10. Listen to the conversation.
Woman: Tom, why aren't the final sales figures printed yet? The executive committee meets in twenty minutes.
Man: I'm really sorry. The network printer on our floor has a paper jam, and the maintenance technician won't arrive until noon.
Woman: In that case, let's use the high-speed color printer in the marketing department.</t>
        </is>
      </c>
      <c r="E11" s="6" t="inlineStr">
        <is>
          <t>여: 톰, 왜 아직 최종 매출 수치가 출력되지 않았나요? 20분 뒤에 임원 회의가 시작되는데요.
남: 정말 죄송합니다. 우리 층 네트워크 프린터에 종이가 걸렸는데, 수리 기사님이 정오나 되어야 오신대요.
여: 그렇다면 마케팅 부서에 있는 고속 컬러 프린터를 이용합시다.</t>
        </is>
      </c>
      <c r="F11" s="6" t="inlineStr">
        <is>
          <t>[정답 분석] 남자가 'The network printer on our floor has a paper jam'이라고 직접 언급했으므로 프린터 고장을 뜻하는 (B) A printer is currently malfunctioning이 정답입니다.</t>
        </is>
      </c>
      <c r="G11" s="6" t="inlineStr">
        <is>
          <t>sales figures(매출 수치); paper jam(용지 걸림); maintenance technician(수리 기술자); malfunction(오작동하다)</t>
        </is>
      </c>
    </row>
    <row r="12" ht="60" customHeight="1">
      <c r="A12" s="13" t="inlineStr">
        <is>
          <t>Q11</t>
        </is>
      </c>
      <c r="B12" s="13" t="inlineStr">
        <is>
          <t>Part 4</t>
        </is>
      </c>
      <c r="C12" s="14" t="inlineStr">
        <is>
          <t>A</t>
        </is>
      </c>
      <c r="D12" s="14" t="inlineStr">
        <is>
          <t>Question 11. Listen to the following announcement.
Attention all employees on the third and fourth floors. Maintenance crews will be conducting scheduled inspections of the central air conditioning units beginning at 1:00 P.M. today. As a result, cooling systems will be temporarily shut down for approximately two hours. We apologize for any inconvenience and suggest opening the corridor windows for ventilation.</t>
        </is>
      </c>
      <c r="E12" s="14" t="inlineStr">
        <is>
          <t>3층과 4층의 모든 직원 여러분께 안내 말씀드립니다. 정비팀이 오늘 오후 1시부터 중앙 에어컨 장비에 대한 정기 점검을 실시할 예정입니다. 그 결과, 냉방 시스템이 약 2시간 동안 일시적으로 중단됩니다. 불편을 끼쳐 드려 죄송하며 환기를 위해 복도 창문을 열어두실 것을 권장합니다.</t>
        </is>
      </c>
      <c r="F12" s="14" t="inlineStr">
        <is>
          <t>[정답 분석] 'cooling systems will be temporarily shut down for approximately two hours'가 (A) A temporary suspension of cooling services로 정확히 패러프레이징되었습니다.</t>
        </is>
      </c>
      <c r="G12" s="14" t="inlineStr">
        <is>
          <t>scheduled inspection(정기 점검); central air conditioning(중앙 냉방 장치); temporarily shut down(일시 중단되다); ventilation(환기)</t>
        </is>
      </c>
    </row>
    <row r="13" ht="60" customHeight="1">
      <c r="A13" s="5" t="inlineStr">
        <is>
          <t>Q12</t>
        </is>
      </c>
      <c r="B13" s="5" t="inlineStr">
        <is>
          <t>Part 4</t>
        </is>
      </c>
      <c r="C13" s="6" t="inlineStr">
        <is>
          <t>B</t>
        </is>
      </c>
      <c r="D13" s="6" t="inlineStr">
        <is>
          <t>Question 12. Listen to the following telephone message.
Hello, Mr. Tanaka. This is Brenda Walker from Apex Courier Services. I am calling regarding your package scheduled for delivery this afternoon. Unfortunately, our delivery driver attempted delivery at 11:30 A.M., but no one was available to sign for the parcel. Please call us back at 555-0192 to reschedule your delivery or authorize us to leave the parcel with a neighbor.</t>
        </is>
      </c>
      <c r="E13" s="6" t="inlineStr">
        <is>
          <t>다나카 씨, 안녕하세요. 에이펙스 택배의 브렌다 워커입니다. 오늘 오후 배송 예정이던 고객님의 소포와 관련하여 전화드렸습니다. 안타깝게도 기사님이 오전 11시 30분에 배송을 시도하였으나 서명해 주실 분이 계시지 않았습니다. 555-0192로 전화 주셔서 재배송 일정을 잡으시거나 이웃에게 소포를 맡길 수 있도록 승인해 주시기 바랍니다.</t>
        </is>
      </c>
      <c r="F13" s="6" t="inlineStr">
        <is>
          <t>[정답 분석] 서명할 사람이 없어 소포를 전달하지 못했음을 알리는 전화이므로 (B) To report an unsuccessful delivery attempt가 정답입니다.</t>
        </is>
      </c>
      <c r="G13" s="6" t="inlineStr">
        <is>
          <t>courier service(택배 서비스); attempt delivery(배송을 시도하다); sign for the parcel(소포 수령 서명을 하다); reschedule(일정을 재조정하다)</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9"/>
  <sheetViews>
    <sheetView showGridLines="1" workbookViewId="0">
      <pane ySplit="1" topLeftCell="A2" activePane="bottomLeft" state="frozen"/>
      <selection pane="bottomLeft" activeCell="A1" sqref="A1"/>
    </sheetView>
  </sheetViews>
  <sheetFormatPr baseColWidth="8" defaultRowHeight="15"/>
  <cols>
    <col width="12" customWidth="1" min="1" max="1"/>
    <col width="14" customWidth="1" min="2" max="2"/>
    <col width="10" customWidth="1" min="3" max="3"/>
    <col width="45" customWidth="1" min="4" max="4"/>
    <col width="45" customWidth="1" min="5" max="5"/>
    <col width="35" customWidth="1" min="6" max="6"/>
    <col width="35" customWidth="1" min="7" max="7"/>
  </cols>
  <sheetData>
    <row r="1" ht="32" customHeight="1">
      <c r="A1" s="15" t="inlineStr">
        <is>
          <t>문항 번호</t>
        </is>
      </c>
      <c r="B1" s="15" t="inlineStr">
        <is>
          <t>파트 구분</t>
        </is>
      </c>
      <c r="C1" s="15" t="inlineStr">
        <is>
          <t>정답</t>
        </is>
      </c>
      <c r="D1" s="15" t="inlineStr">
        <is>
          <t>본문 지문 해석 / 직독직해</t>
        </is>
      </c>
      <c r="E1" s="15" t="inlineStr">
        <is>
          <t>정답 도출 공식 및 문법 분석</t>
        </is>
      </c>
      <c r="F1" s="15" t="inlineStr">
        <is>
          <t>오답 함정 피하기 팁</t>
        </is>
      </c>
      <c r="G1" s="15" t="inlineStr">
        <is>
          <t>필수 어휘 및 패러프레이징 족보</t>
        </is>
      </c>
    </row>
    <row r="2" ht="60" customHeight="1">
      <c r="A2" s="13" t="inlineStr">
        <is>
          <t>Q13</t>
        </is>
      </c>
      <c r="B2" s="13" t="inlineStr">
        <is>
          <t>Part 5</t>
        </is>
      </c>
      <c r="C2" s="14" t="inlineStr">
        <is>
          <t>B</t>
        </is>
      </c>
      <c r="D2" s="14" t="inlineStr">
        <is>
          <t>모든 팀 관리자들은 이사회에 제출하기 전에 수정된 분기 재무제표를 철저하게 검토해야 한다.</t>
        </is>
      </c>
      <c r="E2" s="14" t="inlineStr">
        <is>
          <t>[1초 공식: S + V + O + 부사 자리]
타동사구 review the statement 뒤에서 동사 review를 수식하는 성분은 부사(-ly) 자리입니다. 따라서 부사 (B) thoroughly가 정답입니다.
[오답 소거] 빈칸 뒤 목적어가 이미 완성되어 있으므로 형용사 (A)나 명사 (C)는 오답입니다.</t>
        </is>
      </c>
      <c r="F2" s="14" t="inlineStr">
        <is>
          <t>오답 소거법 및 출제 공식 숙지 필수</t>
        </is>
      </c>
      <c r="G2" s="14" t="inlineStr">
        <is>
          <t>supervisor(관리자); revised(수정된); thoroughly(철저하게, 빈틈없이); executive board(이사회)</t>
        </is>
      </c>
    </row>
    <row r="3" ht="60" customHeight="1">
      <c r="A3" s="5" t="inlineStr">
        <is>
          <t>Q14</t>
        </is>
      </c>
      <c r="B3" s="5" t="inlineStr">
        <is>
          <t>Part 5</t>
        </is>
      </c>
      <c r="C3" s="6" t="inlineStr">
        <is>
          <t>A</t>
        </is>
      </c>
      <c r="D3" s="6" t="inlineStr">
        <is>
          <t>해외 운송료의 전례 없는 인상에도 불구하고, 넥시스 글로벌은 분기 역대 최고 매출을 달성해냈다.</t>
        </is>
      </c>
      <c r="E3" s="6" t="inlineStr">
        <is>
          <t>[1초 공식: 전치사 vs 접속사 구별]
콤마(,) 앞이 동사가 없는 명사구(the unprecedented rise...)이므로 전치사 자리입니다. 문맥상 운임 상승에도 불구하고 수익이 늘었다는 양보 관계이므로 전치사 (A) Despite가 정답입니다.
[오답 소거] (B) Although와 (D) Because는 접속사이므로 뒤에 절(S+V)이 와야 하므로 탈락! (C) Furthermore는 접속부사이므로 문장 연결 불가.</t>
        </is>
      </c>
      <c r="F3" s="6" t="inlineStr">
        <is>
          <t>오답 소거법 및 출제 공식 숙지 필수</t>
        </is>
      </c>
      <c r="G3" s="6" t="inlineStr">
        <is>
          <t>unprecedented(전례 없는); shipping fee(운송료); manage to do(가까스로 해내다); quarterly revenue(분기 매출)</t>
        </is>
      </c>
    </row>
    <row r="4" ht="60" customHeight="1">
      <c r="A4" s="13" t="inlineStr">
        <is>
          <t>Q15</t>
        </is>
      </c>
      <c r="B4" s="13" t="inlineStr">
        <is>
          <t>Part 5</t>
        </is>
      </c>
      <c r="C4" s="14" t="inlineStr">
        <is>
          <t>A</t>
        </is>
      </c>
      <c r="D4" s="14" t="inlineStr">
        <is>
          <t>모든 공장 직원들은 정부가 제정한 산업 안전 규정을 준수하도록 엄격히 의무화되어 있다.</t>
        </is>
      </c>
      <c r="E4" s="14" t="inlineStr">
        <is>
          <t>[1초 공식: 자동사 + 전치사 연어 족보]
빈칸 뒤 전치사 'with'와 결합하여 '~을 준수하다'를 나타내는 동사는 comply입니다. (comply with = adhere to = observe).
[오답 소거] adhere는 전치사 to와 결합, observe와 fulfill은 타동사이므로 전치사 with가 오면 오답!</t>
        </is>
      </c>
      <c r="F4" s="14" t="inlineStr">
        <is>
          <t>오답 소거법 및 출제 공식 숙지 필수</t>
        </is>
      </c>
      <c r="G4" s="14" t="inlineStr">
        <is>
          <t>mandated(의무화된); comply with(~을 준수하다); adhere to(~을 지키다); safety regulations(안전 수칙)</t>
        </is>
      </c>
    </row>
    <row r="5" ht="60" customHeight="1">
      <c r="A5" s="5" t="inlineStr">
        <is>
          <t>Q16</t>
        </is>
      </c>
      <c r="B5" s="5" t="inlineStr">
        <is>
          <t>Part 5</t>
        </is>
      </c>
      <c r="C5" s="6" t="inlineStr">
        <is>
          <t>A</t>
        </is>
      </c>
      <c r="D5" s="6" t="inlineStr">
        <is>
          <t>해외 고객을 위해 새로 발행된 안내서는 해외 조세 정책에 관한 광범위한 지침을 포함하고 있다.</t>
        </is>
      </c>
      <c r="E5" s="6" t="inlineStr">
        <is>
          <t>[1초 공식: 주어 핵 찾기 + 수일치]
문장의 진짜 주어는 단수명사 'The newly published handbook'입니다(수식어 거품 for international clients 제외). 따라서 3인칭 단수 현재동사인 (A) contains가 정답입니다. 뒤에 목적어(extensive guidelines)가 있으므로 수동태 (D)는 불가합니다.</t>
        </is>
      </c>
      <c r="F5" s="6" t="inlineStr">
        <is>
          <t>오답 소거법 및 출제 공식 숙지 필수</t>
        </is>
      </c>
      <c r="G5" s="6" t="inlineStr">
        <is>
          <t>handbook(안내서, 지침서); extensive(광범위한); guidelines(지침); overseas taxation(해외 조세)</t>
        </is>
      </c>
    </row>
    <row r="6" ht="60" customHeight="1">
      <c r="A6" s="13" t="inlineStr">
        <is>
          <t>Q17</t>
        </is>
      </c>
      <c r="B6" s="13" t="inlineStr">
        <is>
          <t>Part 5</t>
        </is>
      </c>
      <c r="C6" s="14" t="inlineStr">
        <is>
          <t>A</t>
        </is>
      </c>
      <c r="D6" s="14" t="inlineStr">
        <is>
          <t>고메즈 씨는 회사의 최근 구조조정 기간 동안 뛰어난 리더십을 발휘했다.</t>
        </is>
      </c>
      <c r="E6" s="14" t="inlineStr">
        <is>
          <t>[1초 공식: 타동사 + [형용사] + 목적어 명사]
타동사 demonstrated와 목적어 명사 leadership 사이에서 명사를 수식하는 품사는 형용사입니다. 따라서 (A) exceptional(뛰어난, 예외적인)이 정답입니다.</t>
        </is>
      </c>
      <c r="F6" s="14" t="inlineStr">
        <is>
          <t>오답 소거법 및 출제 공식 숙지 필수</t>
        </is>
      </c>
      <c r="G6" s="14" t="inlineStr">
        <is>
          <t>demonstrate(보여주다, 발휘하다); exceptional leadership(뛰어난 리더십); operational restructuring(구조조정)</t>
        </is>
      </c>
    </row>
    <row r="7" ht="60" customHeight="1">
      <c r="A7" s="5" t="inlineStr">
        <is>
          <t>Q18</t>
        </is>
      </c>
      <c r="B7" s="5" t="inlineStr">
        <is>
          <t>Part 5</t>
        </is>
      </c>
      <c r="C7" s="6" t="inlineStr">
        <is>
          <t>A</t>
        </is>
      </c>
      <c r="D7" s="6" t="inlineStr">
        <is>
          <t>수석 프로젝트 책임자는 연례 마케팅 심포지엄이 시카고에서 열릴지 아니면 애틀랜타에서 열릴지 아직 결정하지 못했다.</t>
        </is>
      </c>
      <c r="E7" s="6" t="inlineStr">
        <is>
          <t>[1초 공식: whether A or B 짝꿍 공식]
타동사 decided의 목적어 절을 이끌면서 절 뒤의 상관접속사 'or'와 호응하는 명사절 접속사는 'whether A or B(~인지 아닌지)'를 이끄는 (A) whether입니다.</t>
        </is>
      </c>
      <c r="F7" s="6" t="inlineStr">
        <is>
          <t>오답 소거법 및 출제 공식 숙지 필수</t>
        </is>
      </c>
      <c r="G7" s="6" t="inlineStr">
        <is>
          <t>senior project director(수석 책임자); whether A or B(A인지 B인지); symposium(심포지엄, 학술회의); host(개최하다)</t>
        </is>
      </c>
    </row>
    <row r="8" ht="60" customHeight="1">
      <c r="A8" s="13" t="inlineStr">
        <is>
          <t>Q19</t>
        </is>
      </c>
      <c r="B8" s="13" t="inlineStr">
        <is>
          <t>Part 5</t>
        </is>
      </c>
      <c r="C8" s="14" t="inlineStr">
        <is>
          <t>A</t>
        </is>
      </c>
      <c r="D8" s="14" t="inlineStr">
        <is>
          <t>헨더슨 씨가 참석할 수 없었기 때문에, CEO가 상을 받기 위해 직접 국제 무역 갈라 행사에 참석했다.</t>
        </is>
      </c>
      <c r="E8" s="14" t="inlineStr">
        <is>
          <t>[1초 공식: 완전한 문장 뒤 주어 강조 재귀대명사]
'the CEO attended the trade gala'로 문장 필수 성분이 모두 갖추어져 있으므로, 주어인 the CEO를 직접 '스스로, 직접' 강조하는 재귀대명사 (A) himself가 정답입니다.</t>
        </is>
      </c>
      <c r="F8" s="14" t="inlineStr">
        <is>
          <t>오답 소거법 및 출제 공식 숙지 필수</t>
        </is>
      </c>
      <c r="G8" s="14" t="inlineStr">
        <is>
          <t>unavailable(시간이 안 되는); international trade gala(국제 무역 갈라쇼); accept the award(상을 수상하다); himself(직접)</t>
        </is>
      </c>
    </row>
    <row r="9" ht="60" customHeight="1">
      <c r="A9" s="5" t="inlineStr">
        <is>
          <t>Q20</t>
        </is>
      </c>
      <c r="B9" s="5" t="inlineStr">
        <is>
          <t>Part 5</t>
        </is>
      </c>
      <c r="C9" s="6" t="inlineStr">
        <is>
          <t>A</t>
        </is>
      </c>
      <c r="D9" s="6" t="inlineStr">
        <is>
          <t>예정된 선로 보수 작업으로 인해, 필라델피아와 볼티모어 구간의 지역 여객 열차가 덜 빈번하게(더 드물게) 운행될 것입니다.</t>
        </is>
      </c>
      <c r="E9" s="6" t="inlineStr">
        <is>
          <t>[문맥 어휘 판별]
선로 보수 작업(track maintenance) 때문에 열차가 덜 자주(less frequently) 운행한다는 문맥이 가장 자연스럽습니다. 따라서 (A) frequently가 정답입니다.</t>
        </is>
      </c>
      <c r="F9" s="6" t="inlineStr">
        <is>
          <t>오답 소거법 및 출제 공식 숙지 필수</t>
        </is>
      </c>
      <c r="G9" s="6" t="inlineStr">
        <is>
          <t>scheduled track maintenance(예정된 선로 보수); passenger train(여객 열차); run frequently(자주 운행하다); hardly(거의 ~않다)</t>
        </is>
      </c>
    </row>
    <row r="10" ht="60" customHeight="1">
      <c r="A10" s="13" t="inlineStr">
        <is>
          <t>Q21</t>
        </is>
      </c>
      <c r="B10" s="13" t="inlineStr">
        <is>
          <t>Part 5</t>
        </is>
      </c>
      <c r="C10" s="14" t="inlineStr">
        <is>
          <t>A</t>
        </is>
      </c>
      <c r="D10" s="14" t="inlineStr">
        <is>
          <t>제안된 기업 본사 보수 프로젝트에 대한 수정된 견적서가 동봉되어 있습니다.</t>
        </is>
      </c>
      <c r="E10" s="14" t="inlineStr">
        <is>
          <t>[1초 공식: 명사를 수식하는 분사 형용사]
견적서(estimate)는 사람에 의해 '수정되는' 수동의 대상이므로 과거분사 (A) revised가 명사 estimate를 수식하는 정답입니다.</t>
        </is>
      </c>
      <c r="F10" s="14" t="inlineStr">
        <is>
          <t>오답 소거법 및 출제 공식 숙지 필수</t>
        </is>
      </c>
      <c r="G10" s="14" t="inlineStr">
        <is>
          <t>enclosed(동봉된); revised estimate(수정된 견적서); proposed project(제안된 프로젝트); renovation(개보수)</t>
        </is>
      </c>
    </row>
    <row r="11" ht="60" customHeight="1">
      <c r="A11" s="5" t="inlineStr">
        <is>
          <t>Q22</t>
        </is>
      </c>
      <c r="B11" s="5" t="inlineStr">
        <is>
          <t>Part 5</t>
        </is>
      </c>
      <c r="C11" s="6" t="inlineStr">
        <is>
          <t>A</t>
        </is>
      </c>
      <c r="D11" s="6" t="inlineStr">
        <is>
          <t>온라인 평가 도중 기술적인 어려움을 겪으실 경우, 즉시 기술 지원 부서로 연락해 주시기 바랍니다.</t>
        </is>
      </c>
      <c r="E11" s="6" t="inlineStr">
        <is>
          <t>[토익 850+ 킬러 도치 공식]
조건절 'If you should encounter...'에서 If가 생략되면 조동사 Should가 문두로 도치됩니다! 뒤에 주어 you + 동사원형 encounter가 오고 주절이 명령문(please contact...)인 대표 킬러 문제입니다.</t>
        </is>
      </c>
      <c r="F11" s="6" t="inlineStr">
        <is>
          <t>오답 소거법 및 출제 공식 숙지 필수</t>
        </is>
      </c>
      <c r="G11" s="6" t="inlineStr">
        <is>
          <t>Should + S + 동사원형(If 생략 조건 도치); encounter difficulties(어려움에 직면하다); technical support(기술 지원)</t>
        </is>
      </c>
    </row>
    <row r="12" ht="60" customHeight="1">
      <c r="A12" s="13" t="inlineStr">
        <is>
          <t>Q23</t>
        </is>
      </c>
      <c r="B12" s="13" t="inlineStr">
        <is>
          <t>Part 6</t>
        </is>
      </c>
      <c r="C12" s="14" t="inlineStr">
        <is>
          <t>A</t>
        </is>
      </c>
      <c r="D12" s="14" t="inlineStr">
        <is>
          <t>4층과 5층의 대규모 리모델링 공사가 시작됩니다. [따라서], 이 부서들의 모든 직원들은 10월 25일 공사가 끝날 때까지 원격 근무를 권장합니다.</t>
        </is>
      </c>
      <c r="E12" s="14" t="inlineStr">
        <is>
          <t>[정답 분석] 앞 문장의 대규모 공사라는 원인에 따른 결과로 재택근무를 권장하는 인과 관계이므로 접속부사 (A) Therefore(그러므로, 따라서)가 정답입니다.</t>
        </is>
      </c>
      <c r="F12" s="14" t="inlineStr">
        <is>
          <t>오답 소거법 및 출제 공식 숙지 필수</t>
        </is>
      </c>
      <c r="G12" s="14" t="inlineStr">
        <is>
          <t>headquarters(본사); undergo(겪다); extensive renovation(대규모 보수공사); work remotely(원격 근무하다)</t>
        </is>
      </c>
    </row>
    <row r="13" ht="60" customHeight="1">
      <c r="A13" s="5" t="inlineStr">
        <is>
          <t>Q24</t>
        </is>
      </c>
      <c r="B13" s="5" t="inlineStr">
        <is>
          <t>Part 6</t>
        </is>
      </c>
      <c r="C13" s="6" t="inlineStr">
        <is>
          <t>A</t>
        </is>
      </c>
      <c r="D13" s="6" t="inlineStr">
        <is>
          <t>회사 서버에 직접 접근해야 하는 직원들은 최소 24시간 전에 임시 출입증 승인을 요청해야 합니다. [이 조치는 보안 수칙이 빈틈없이 유지되도록 보장할 것입니다.] 문의사항은 시설관리과로 전달해 주십시오.</t>
        </is>
      </c>
      <c r="E13" s="6" t="inlineStr">
        <is>
          <t>[정답 분석] 앞 문장의 '임시 출입증 사전 신청' 규정을 받는 지시대명사 'This'가 들어가며, 보안 수칙 준수 목적을 설명하는 (A) This will ensure that security protocols remain uncompromised가 문맥상 완벽합니다.</t>
        </is>
      </c>
      <c r="F13" s="6" t="inlineStr">
        <is>
          <t>오답 소거법 및 출제 공식 숙지 필수</t>
        </is>
      </c>
      <c r="G13" s="6" t="inlineStr">
        <is>
          <t>temporary badge clearance(임시 출입증 승인); security protocol(보안 수칙); uncompromised(훼손되지 않은, 완벽한)</t>
        </is>
      </c>
    </row>
    <row r="14" ht="60" customHeight="1">
      <c r="A14" s="13" t="inlineStr">
        <is>
          <t>Q25</t>
        </is>
      </c>
      <c r="B14" s="13" t="inlineStr">
        <is>
          <t>Part 6</t>
        </is>
      </c>
      <c r="C14" s="14" t="inlineStr">
        <is>
          <t>A</t>
        </is>
      </c>
      <c r="D14" s="14" t="inlineStr">
        <is>
          <t>지난 6개월 동안 저희 기술팀은 새로운 모바일 뱅킹 애플리케이션을 개발해 왔습니다. 이제 이 앱의 다운로드가 가능해졌음을 기쁘게 알려드립니다.</t>
        </is>
      </c>
      <c r="E14" s="14" t="inlineStr">
        <is>
          <t>[1초 공식: Over the past + 기간 = 현재완료]
'Over the past six months(지난 6개월 동안)'는 과거부터 현재까지 지속된 기간을 뜻하므로 현재완료 시제 (A) has developed가 100% 정답입니다.</t>
        </is>
      </c>
      <c r="F14" s="14" t="inlineStr">
        <is>
          <t>오답 소거법 및 출제 공식 숙지 필수</t>
        </is>
      </c>
      <c r="G14" s="14" t="inlineStr">
        <is>
          <t>over the past + 기간(지난 ~동안); brand-new(완전 신규의); international money transfer(해외 송금); delighted(기쁜)</t>
        </is>
      </c>
    </row>
    <row r="15" ht="60" customHeight="1">
      <c r="A15" s="5" t="inlineStr">
        <is>
          <t>Q26</t>
        </is>
      </c>
      <c r="B15" s="5" t="inlineStr">
        <is>
          <t>Part 6</t>
        </is>
      </c>
      <c r="C15" s="6" t="inlineStr">
        <is>
          <t>A</t>
        </is>
      </c>
      <c r="D15" s="6" t="inlineStr">
        <is>
          <t>좌석(공간)이 제한되어 있으므로 예약은 선착순으로 처리된다는 점을 유의해 주시기 바랍니다.</t>
        </is>
      </c>
      <c r="E15" s="6" t="inlineStr">
        <is>
          <t>[문맥 빈출 어휘 족보]
선착순(first-come, first-served basis)으로 처리된다는 단서와 어울려 좌석이나 인원이 '한정된, 제한된'을 뜻하는 형용사는 (A) limited입니다. (spaces are limited / seats are limited 빈출 공식).</t>
        </is>
      </c>
      <c r="F15" s="6" t="inlineStr">
        <is>
          <t>오답 소거법 및 출제 공식 숙지 필수</t>
        </is>
      </c>
      <c r="G15" s="6" t="inlineStr">
        <is>
          <t>registration fee(등록비); spaces are limited(좌석이 한정되어 있다); first-come, first-served basis(선착순 원칙)</t>
        </is>
      </c>
    </row>
    <row r="16" ht="60" customHeight="1">
      <c r="A16" s="13" t="inlineStr">
        <is>
          <t>Q27</t>
        </is>
      </c>
      <c r="B16" s="13" t="inlineStr">
        <is>
          <t>Part 7</t>
        </is>
      </c>
      <c r="C16" s="14" t="inlineStr">
        <is>
          <t>A</t>
        </is>
      </c>
      <c r="D16" s="14" t="inlineStr">
        <is>
          <t>12월 1일부로 출장 경비 환급 정책이 개정되어 시행됩니다. 모든 환급 신청은 출장 복귀 후 근무일 기준 14일 이내에 사내 포털을 통해 제출되어야 합니다.
아울러 종이 영수증은 더 이상 접수되지 않습니다. 직원들은 숙박 및 교통비를 포함한 모든 원본 영수증의 선명한 디지털 스캔본이나 사진을 업로드해야 합니다.</t>
        </is>
      </c>
      <c r="E16" s="14" t="inlineStr">
        <is>
          <t>[정답 분석] 첫 문장의 'will implement an updated policy regarding business travel expense reimbursements'에서 출장비 환급 절차 변경 공지임을 알 수 있으므로 (A)가 정답입니다.</t>
        </is>
      </c>
      <c r="F16" s="14" t="inlineStr">
        <is>
          <t>오답 소거법 및 출제 공식 숙지 필수</t>
        </is>
      </c>
      <c r="G16" s="14" t="inlineStr">
        <is>
          <t>reimbursement(환급); effective + 날짜(~부로 발효되는); implement(시행하다); designated timeframe(지정 기간)</t>
        </is>
      </c>
    </row>
    <row r="17" ht="60" customHeight="1">
      <c r="A17" s="5" t="inlineStr">
        <is>
          <t>Q28</t>
        </is>
      </c>
      <c r="B17" s="5" t="inlineStr">
        <is>
          <t>Part 7</t>
        </is>
      </c>
      <c r="C17" s="6" t="inlineStr">
        <is>
          <t>B</t>
        </is>
      </c>
      <c r="D17" s="6" t="inlineStr">
        <is>
          <t>종이 영수증은 더 이상 받지 않으며, 모든 원본 영수증의 선명한 디지털 스캔본 또는 사진을 업로드해야 합니다.</t>
        </is>
      </c>
      <c r="E17" s="6" t="inlineStr">
        <is>
          <t>[패러프레이징 매칭 족보]
본문의 'physical paper receipts no longer accepted, upload clear digital scans or photos'가 선지의 (B) provided in an electronic format으로 전환된 정답입니다.</t>
        </is>
      </c>
      <c r="F17" s="6" t="inlineStr">
        <is>
          <t>오답 소거법 및 출제 공식 숙지 필수</t>
        </is>
      </c>
      <c r="G17" s="6" t="inlineStr">
        <is>
          <t>physical receipt(종이 영수증); upload digital scan(디지털 스캔 업로드); electronic format(전자 형식)</t>
        </is>
      </c>
    </row>
    <row r="18" ht="60" customHeight="1">
      <c r="A18" s="13" t="inlineStr">
        <is>
          <t>Q29</t>
        </is>
      </c>
      <c r="B18" s="13" t="inlineStr">
        <is>
          <t>Part 7</t>
        </is>
      </c>
      <c r="C18" s="14" t="inlineStr">
        <is>
          <t>A</t>
        </is>
      </c>
      <c r="D18" s="14" t="inlineStr">
        <is>
          <t>소계: 5,000달러
기업 대량 구매 할인(10%): -500달러
배송비: 면제(1,000달러 이상 주문)
최종 결제 금액: 4,500달러</t>
        </is>
      </c>
      <c r="E18" s="14" t="inlineStr">
        <is>
          <t>[정답 분석] 청구서에 'Corporate Bulk Discount(10%)'라고 명시되어 있습니다. bulk discount(대량 구매 할인)는 상품을 대량(large quantities)으로 구매했기 때문이므로 (A)가 정답입니다.</t>
        </is>
      </c>
      <c r="F18" s="14" t="inlineStr">
        <is>
          <t>오답 소거법 및 출제 공식 숙지 필수</t>
        </is>
      </c>
      <c r="G18" s="14" t="inlineStr">
        <is>
          <t>invoice(청구서); bulk discount(대량 구매 할인); large quantities(대량); delivery fee waived(배송비 면제)</t>
        </is>
      </c>
    </row>
    <row r="19" ht="60" customHeight="1">
      <c r="A19" s="5" t="inlineStr">
        <is>
          <t>Q30</t>
        </is>
      </c>
      <c r="B19" s="5" t="inlineStr">
        <is>
          <t>Part 7</t>
        </is>
      </c>
      <c r="C19" s="6" t="inlineStr">
        <is>
          <t>A</t>
        </is>
      </c>
      <c r="D19" s="6" t="inlineStr">
        <is>
          <t>Delivery Fee: WAIVED (Orders over $1,000) ➜ 총 금액이 5,000달러이므로 배송비가 면제됨.</t>
        </is>
      </c>
      <c r="E19" s="6" t="inlineStr">
        <is>
          <t>[정답 분석] 청구서의 'Delivery Fee: WAIVED (Orders over $1,000)'에 따라 1,000달러를 초과하여 배송비를 지불할 필요가 없었으므로 (A) They did not have to pay for shipping이 정답입니다.</t>
        </is>
      </c>
      <c r="F19" s="6" t="inlineStr">
        <is>
          <t>오답 소거법 및 출제 공식 숙지 필수</t>
        </is>
      </c>
      <c r="G19" s="6" t="inlineStr">
        <is>
          <t>waived(면제된); shipping/delivery fee(배송비); net 30 days(30일 이내 결제 조건)</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8"/>
  <sheetViews>
    <sheetView showGridLines="1" workbookViewId="0">
      <pane ySplit="1" topLeftCell="A2" activePane="bottomLeft" state="frozen"/>
      <selection pane="bottomLeft" activeCell="A1" sqref="A1"/>
    </sheetView>
  </sheetViews>
  <sheetFormatPr baseColWidth="8" defaultRowHeight="15"/>
  <cols>
    <col width="12" customWidth="1" min="1" max="1"/>
    <col width="15" customWidth="1" min="2" max="2"/>
    <col width="25" customWidth="1" min="3" max="3"/>
    <col width="42" customWidth="1" min="4" max="4"/>
    <col width="18" customWidth="1" min="5" max="5"/>
    <col width="18" customWidth="1" min="6" max="6"/>
    <col width="18" customWidth="1" min="7" max="7"/>
    <col width="18" customWidth="1" min="8" max="8"/>
    <col width="10" customWidth="1" min="9" max="9"/>
    <col width="45" customWidth="1" min="10" max="10"/>
    <col width="25" customWidth="1" min="11" max="11"/>
  </cols>
  <sheetData>
    <row r="1" ht="32" customHeight="1">
      <c r="A1" s="16" t="inlineStr">
        <is>
          <t>문항 번호</t>
        </is>
      </c>
      <c r="B1" s="16" t="inlineStr">
        <is>
          <t>파트 구분</t>
        </is>
      </c>
      <c r="C1" s="16" t="inlineStr">
        <is>
          <t>출제 카테고리</t>
        </is>
      </c>
      <c r="D1" s="16" t="inlineStr">
        <is>
          <t>고난도 킬러 문제 / 핵심 족보</t>
        </is>
      </c>
      <c r="E1" s="16" t="inlineStr">
        <is>
          <t>보기 (A)</t>
        </is>
      </c>
      <c r="F1" s="16" t="inlineStr">
        <is>
          <t>보기 (B)</t>
        </is>
      </c>
      <c r="G1" s="16" t="inlineStr">
        <is>
          <t>보기 (C)</t>
        </is>
      </c>
      <c r="H1" s="16" t="inlineStr">
        <is>
          <t>보기 (D)</t>
        </is>
      </c>
      <c r="I1" s="16" t="inlineStr">
        <is>
          <t>정답</t>
        </is>
      </c>
      <c r="J1" s="16" t="inlineStr">
        <is>
          <t>850점+ 달성 킬러 공식 해설</t>
        </is>
      </c>
      <c r="K1" s="16" t="inlineStr">
        <is>
          <t>실전 CBT 풀기</t>
        </is>
      </c>
    </row>
    <row r="2" ht="58" customHeight="1">
      <c r="A2" s="5" t="inlineStr">
        <is>
          <t>Q3</t>
        </is>
      </c>
      <c r="B2" s="5" t="inlineStr">
        <is>
          <t>Part 1</t>
        </is>
      </c>
      <c r="C2" s="6" t="inlineStr">
        <is>
          <t>Photographs (사물 상태/정물)</t>
        </is>
      </c>
      <c r="D2" s="6" t="inlineStr">
        <is>
          <t>Look at the picture marked Number 3 in your test book and choose the best statement.</t>
        </is>
      </c>
      <c r="E2" s="6" t="inlineStr">
        <is>
          <t>Chairs are arranged around a conference table.</t>
        </is>
      </c>
      <c r="F2" s="6" t="inlineStr">
        <is>
          <t>Some boxes are being unloaded from a truck.</t>
        </is>
      </c>
      <c r="G2" s="6" t="inlineStr">
        <is>
          <t>A presenter is speaking to an audience.</t>
        </is>
      </c>
      <c r="H2" s="6" t="inlineStr">
        <is>
          <t>The blinds have been pulled down over the windows.</t>
        </is>
      </c>
      <c r="I2" s="6" t="inlineStr">
        <is>
          <t>A</t>
        </is>
      </c>
      <c r="J2" s="5" t="inlineStr">
        <is>
          <t>[정답 분석] 사람이 없는 회의실 정물 사진으로, 탁자 주위에 의자가 정렬된 상태를 묘사한 (A) Chairs are arranged around a conference table이 정답입니다.
[오답 소거 (기출 킬러 공식)]
(B) 'being unloaded'처럼 사람이 없는데 'be being p.p.(진행형 수동)'가 나오면 99% 오답입니다!</t>
        </is>
      </c>
      <c r="K2" s="7">
        <f>HYPERLINK("https://srunaic.github.io/Korea_History_Exel_CBT_System/toeic_cbt.html?q=3#q3", "🔥 Q3번 킬러 풀기")</f>
        <v/>
      </c>
    </row>
    <row r="3" ht="58" customHeight="1">
      <c r="A3" s="5" t="inlineStr">
        <is>
          <t>Q8</t>
        </is>
      </c>
      <c r="B3" s="5" t="inlineStr">
        <is>
          <t>Part 2</t>
        </is>
      </c>
      <c r="C3" s="6" t="inlineStr">
        <is>
          <t>Question-Response (우회적/회피형 고난도 킬러)</t>
        </is>
      </c>
      <c r="D3" s="6" t="inlineStr">
        <is>
          <t>Mark your answer on your answer sheet: [Audio Only]</t>
        </is>
      </c>
      <c r="E3" s="6" t="inlineStr">
        <is>
          <t>(A) Ms. Patel is handling all client communications.</t>
        </is>
      </c>
      <c r="F3" s="6" t="inlineStr">
        <is>
          <t>(B) Yes, at the downtown law office.</t>
        </is>
      </c>
      <c r="G3" s="6" t="inlineStr">
        <is>
          <t>(C) Forty-five dollars per hour.</t>
        </is>
      </c>
      <c r="H3" s="6" t="inlineStr">
        <is>
          <t>N/A</t>
        </is>
      </c>
      <c r="I3" s="6" t="inlineStr">
        <is>
          <t>A</t>
        </is>
      </c>
      <c r="J3" s="5" t="inlineStr">
        <is>
          <t>[정답 분석 (토익 850+ 킬러 공식)]
'내가 잘 모르니 담당자에게 물어봐라 / 다른 사람이 처리하고 있다' 유형의 제3자 회피성 응답은 정기토익 100% 정답 족보입니다! (A)가 정답입니다.</t>
        </is>
      </c>
      <c r="K3" s="7">
        <f>HYPERLINK("https://srunaic.github.io/Korea_History_Exel_CBT_System/toeic_cbt.html?q=8#q8", "🔥 Q8번 킬러 풀기")</f>
        <v/>
      </c>
    </row>
    <row r="4" ht="58" customHeight="1">
      <c r="A4" s="5" t="inlineStr">
        <is>
          <t>Q14</t>
        </is>
      </c>
      <c r="B4" s="5" t="inlineStr">
        <is>
          <t>Part 5</t>
        </is>
      </c>
      <c r="C4" s="6" t="inlineStr">
        <is>
          <t>Grammar (전치사 vs 접속사)</t>
        </is>
      </c>
      <c r="D4" s="6" t="inlineStr">
        <is>
          <t>------- the unprecedented rise in overseas shipping fees, NEXIS Global managed to achieve record-high quarterly revenue.</t>
        </is>
      </c>
      <c r="E4" s="6" t="inlineStr">
        <is>
          <t>Despite</t>
        </is>
      </c>
      <c r="F4" s="6" t="inlineStr">
        <is>
          <t>Although</t>
        </is>
      </c>
      <c r="G4" s="6" t="inlineStr">
        <is>
          <t>Furthermore</t>
        </is>
      </c>
      <c r="H4" s="6" t="inlineStr">
        <is>
          <t>Because</t>
        </is>
      </c>
      <c r="I4" s="6" t="inlineStr">
        <is>
          <t>A</t>
        </is>
      </c>
      <c r="J4" s="5" t="inlineStr">
        <is>
          <t>[1초 공식: 전치사 vs 접속사 구별]
콤마(,) 앞이 동사가 없는 명사구(the unprecedented rise...)이므로 전치사 자리입니다. 문맥상 운임 상승에도 불구하고 수익이 늘었다는 양보 관계이므로 전치사 (A) Despite가 정답입니다.
[오답 소거] (B) Although와 (D) Because는 접속사이므로 뒤에 절(S+V)이 와야 하므로 탈락! (C) Furthermore는 접속부사이므로 문장 연결 불가.</t>
        </is>
      </c>
      <c r="K4" s="7">
        <f>HYPERLINK("https://srunaic.github.io/Korea_History_Exel_CBT_System/toeic_cbt.html?q=14#q14", "🔥 Q14번 킬러 풀기")</f>
        <v/>
      </c>
    </row>
    <row r="5" ht="58" customHeight="1">
      <c r="A5" s="5" t="inlineStr">
        <is>
          <t>Q18</t>
        </is>
      </c>
      <c r="B5" s="5" t="inlineStr">
        <is>
          <t>Part 5</t>
        </is>
      </c>
      <c r="C5" s="6" t="inlineStr">
        <is>
          <t>Grammar (명사절 접속사/관계사)</t>
        </is>
      </c>
      <c r="D5" s="6" t="inlineStr">
        <is>
          <t>The senior project director hasn't decided ------- the annual marketing symposium will be hosted in Chicago or Atlanta.</t>
        </is>
      </c>
      <c r="E5" s="6" t="inlineStr">
        <is>
          <t>whether</t>
        </is>
      </c>
      <c r="F5" s="6" t="inlineStr">
        <is>
          <t>that</t>
        </is>
      </c>
      <c r="G5" s="6" t="inlineStr">
        <is>
          <t>which</t>
        </is>
      </c>
      <c r="H5" s="6" t="inlineStr">
        <is>
          <t>what</t>
        </is>
      </c>
      <c r="I5" s="6" t="inlineStr">
        <is>
          <t>A</t>
        </is>
      </c>
      <c r="J5" s="5" t="inlineStr">
        <is>
          <t>[1초 공식: whether A or B 짝꿍 공식]
타동사 decided의 목적어 절을 이끌면서 절 뒤의 상관접속사 'or'와 호응하는 명사절 접속사는 'whether A or B(~인지 아닌지)'를 이끄는 (A) whether입니다.</t>
        </is>
      </c>
      <c r="K5" s="7">
        <f>HYPERLINK("https://srunaic.github.io/Korea_History_Exel_CBT_System/toeic_cbt.html?q=18#q18", "🔥 Q18번 킬러 풀기")</f>
        <v/>
      </c>
    </row>
    <row r="6" ht="58" customHeight="1">
      <c r="A6" s="5" t="inlineStr">
        <is>
          <t>Q22</t>
        </is>
      </c>
      <c r="B6" s="5" t="inlineStr">
        <is>
          <t>Part 5</t>
        </is>
      </c>
      <c r="C6" s="6" t="inlineStr">
        <is>
          <t>★킬러 (도치/가정법 If 생략)</t>
        </is>
      </c>
      <c r="D6" s="6" t="inlineStr">
        <is>
          <t>------- you encounter any technical difficulties during the online assessment, please immediately contact our technical support division.</t>
        </is>
      </c>
      <c r="E6" s="6" t="inlineStr">
        <is>
          <t>Should</t>
        </is>
      </c>
      <c r="F6" s="6" t="inlineStr">
        <is>
          <t>Were</t>
        </is>
      </c>
      <c r="G6" s="6" t="inlineStr">
        <is>
          <t>Had</t>
        </is>
      </c>
      <c r="H6" s="6" t="inlineStr">
        <is>
          <t>Unless</t>
        </is>
      </c>
      <c r="I6" s="6" t="inlineStr">
        <is>
          <t>A</t>
        </is>
      </c>
      <c r="J6" s="5" t="inlineStr">
        <is>
          <t>[토익 850+ 킬러 도치 공식]
조건절 'If you should encounter...'에서 If가 생략되면 조동사 Should가 문두로 도치됩니다! 뒤에 주어 you + 동사원형 encounter가 오고 주절이 명령문(please contact...)인 대표 킬러 문제입니다.</t>
        </is>
      </c>
      <c r="K6" s="7">
        <f>HYPERLINK("https://srunaic.github.io/Korea_History_Exel_CBT_System/toeic_cbt.html?q=22#q22", "🔥 Q22번 킬러 풀기")</f>
        <v/>
      </c>
    </row>
    <row r="7" ht="58" customHeight="1">
      <c r="A7" s="5" t="inlineStr">
        <is>
          <t>Q24</t>
        </is>
      </c>
      <c r="B7" s="5" t="inlineStr">
        <is>
          <t>Part 6</t>
        </is>
      </c>
      <c r="C7" s="6" t="inlineStr">
        <is>
          <t>Sentence Insertion (문맥에 알맞은 문장 삽입)</t>
        </is>
      </c>
      <c r="D7" s="6" t="inlineStr">
        <is>
          <t>Choose the sentence that best fits the blank [ 24 ].</t>
        </is>
      </c>
      <c r="E7" s="6" t="inlineStr">
        <is>
          <t>This will ensure that security protocols remain uncompromised.</t>
        </is>
      </c>
      <c r="F7" s="6" t="inlineStr">
        <is>
          <t>The cafeteria menu will be expanded next week.</t>
        </is>
      </c>
      <c r="G7" s="6" t="inlineStr">
        <is>
          <t>Our annual sales goal has already been achieved.</t>
        </is>
      </c>
      <c r="H7" s="6" t="inlineStr">
        <is>
          <t>Applicants should submit their resumes by email.</t>
        </is>
      </c>
      <c r="I7" s="6" t="inlineStr">
        <is>
          <t>A</t>
        </is>
      </c>
      <c r="J7" s="5" t="inlineStr">
        <is>
          <t>[정답 분석] 앞 문장의 '임시 출입증 사전 신청' 규정을 받는 지시대명사 'This'가 들어가며, 보안 수칙 준수 목적을 설명하는 (A) This will ensure that security protocols remain uncompromised가 문맥상 완벽합니다.</t>
        </is>
      </c>
      <c r="K7" s="7">
        <f>HYPERLINK("https://srunaic.github.io/Korea_History_Exel_CBT_System/toeic_cbt.html?q=24#q24", "🔥 Q24번 킬러 풀기")</f>
        <v/>
      </c>
    </row>
    <row r="8" ht="58" customHeight="1">
      <c r="A8" s="5" t="inlineStr">
        <is>
          <t>Q30</t>
        </is>
      </c>
      <c r="B8" s="5" t="inlineStr">
        <is>
          <t>Part 7</t>
        </is>
      </c>
      <c r="C8" s="6" t="inlineStr">
        <is>
          <t>★킬러 (2중 지문 연계 추론)</t>
        </is>
      </c>
      <c r="D8" s="6" t="inlineStr">
        <is>
          <t>What is indicated about Horizon Legal Partners?</t>
        </is>
      </c>
      <c r="E8" s="6" t="inlineStr">
        <is>
          <t>They did not have to pay for shipping.</t>
        </is>
      </c>
      <c r="F8" s="6" t="inlineStr">
        <is>
          <t>They will receive their order by September 20.</t>
        </is>
      </c>
      <c r="G8" s="6" t="inlineStr">
        <is>
          <t>They ordered customized executive desks.</t>
        </is>
      </c>
      <c r="H8" s="6" t="inlineStr">
        <is>
          <t>They must pay the total amount immediately.</t>
        </is>
      </c>
      <c r="I8" s="6" t="inlineStr">
        <is>
          <t>A</t>
        </is>
      </c>
      <c r="J8" s="5" t="inlineStr">
        <is>
          <t>[정답 분석] 청구서의 'Delivery Fee: WAIVED (Orders over $1,000)'에 따라 1,000달러를 초과하여 배송비를 지불할 필요가 없었으므로 (A) They did not have to pay for shipping이 정답입니다.</t>
        </is>
      </c>
      <c r="K8" s="7">
        <f>HYPERLINK("https://srunaic.github.io/Korea_History_Exel_CBT_System/toeic_cbt.html?q=30#q30", "🔥 Q30번 킬러 풀기")</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2026-10-06T05:19:36Z</dcterms:created>
  <dcterms:modified xmlns:dcterms="http://purl.org/dc/terms/" xmlns:xsi="http://www.w3.org/2001/XMLSchema-instance" xsi:type="dcterms:W3CDTF">2026-10-06T05:19:36Z</dcterms:modified>
</cp:coreProperties>
</file>