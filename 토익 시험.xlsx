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_Listening_실전문항" sheetId="1" state="visible" r:id="rId1"/>
    <sheet xmlns:r="http://schemas.openxmlformats.org/officeDocument/2006/relationships" name="📖_Reading_실전문항" sheetId="2" state="visible" r:id="rId2"/>
    <sheet xmlns:r="http://schemas.openxmlformats.org/officeDocument/2006/relationships" name="💡_Listening_정답해설집" sheetId="3" state="visible" r:id="rId3"/>
    <sheet xmlns:r="http://schemas.openxmlformats.org/officeDocument/2006/relationships" name="💡_Reading_정답해설집" sheetId="4" state="visible" r:id="rId4"/>
    <sheet xmlns:r="http://schemas.openxmlformats.org/officeDocument/2006/relationships" name="★토익_800돌파_킬러공식"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b val="1"/>
      <color rgb="00FFFFFF"/>
      <sz val="11"/>
    </font>
    <font>
      <name val="맑은 고딕"/>
      <sz val="10"/>
    </font>
    <font>
      <name val="맑은 고딕"/>
      <b val="1"/>
      <sz val="10"/>
    </font>
    <font>
      <name val="맑은 고딕"/>
      <b val="1"/>
      <color rgb="00004B91"/>
      <sz val="10"/>
      <u val="single"/>
    </font>
    <font>
      <name val="맑은 고딕"/>
      <sz val="9"/>
    </font>
    <font>
      <name val="맑은 고딕"/>
      <b val="1"/>
      <color rgb="000000FF"/>
      <sz val="9"/>
      <u val="single"/>
    </font>
  </fonts>
  <fills count="12">
    <fill>
      <patternFill/>
    </fill>
    <fill>
      <patternFill patternType="gray125"/>
    </fill>
    <fill>
      <patternFill patternType="solid">
        <fgColor rgb="001B365D"/>
        <bgColor rgb="001B365D"/>
      </patternFill>
    </fill>
    <fill>
      <patternFill patternType="solid">
        <fgColor rgb="00F0F4F9"/>
        <bgColor rgb="00F0F4F9"/>
      </patternFill>
    </fill>
    <fill>
      <patternFill patternType="solid">
        <fgColor rgb="001D5B41"/>
        <bgColor rgb="001D5B41"/>
      </patternFill>
    </fill>
    <fill>
      <patternFill patternType="solid">
        <fgColor rgb="00F0F7F4"/>
        <bgColor rgb="00F0F7F4"/>
      </patternFill>
    </fill>
    <fill>
      <patternFill patternType="solid">
        <fgColor rgb="003A3B7B"/>
        <bgColor rgb="003A3B7B"/>
      </patternFill>
    </fill>
    <fill>
      <patternFill patternType="solid">
        <fgColor rgb="00F7F7FA"/>
        <bgColor rgb="00F7F7FA"/>
      </patternFill>
    </fill>
    <fill>
      <patternFill patternType="solid">
        <fgColor rgb="0017535B"/>
        <bgColor rgb="0017535B"/>
      </patternFill>
    </fill>
    <fill>
      <patternFill patternType="solid">
        <fgColor rgb="00C00000"/>
        <bgColor rgb="00C00000"/>
      </patternFill>
    </fill>
    <fill>
      <patternFill patternType="solid">
        <fgColor rgb="00F8FAFC"/>
        <bgColor rgb="00F8FAFC"/>
      </patternFill>
    </fill>
    <fill>
      <patternFill patternType="solid">
        <fgColor rgb="00FFFFFF"/>
        <bgColor rgb="00FFFFFF"/>
      </patternFill>
    </fill>
  </fills>
  <borders count="3">
    <border>
      <left/>
      <right/>
      <top/>
      <bottom/>
      <diagonal/>
    </border>
    <border>
      <left style="thin">
        <color rgb="00D3D9E2"/>
      </left>
      <right style="thin">
        <color rgb="00D3D9E2"/>
      </right>
      <top style="thin">
        <color rgb="00D3D9E2"/>
      </top>
      <bottom style="thin">
        <color rgb="00D3D9E2"/>
      </bottom>
    </border>
    <border>
      <left style="thin">
        <color rgb="00DDE2E8"/>
      </left>
      <right style="thin">
        <color rgb="00DDE2E8"/>
      </right>
      <top style="thin">
        <color rgb="00DDE2E8"/>
      </top>
      <bottom style="thin">
        <color rgb="00DDE2E8"/>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wrapText="1"/>
    </xf>
    <xf numFmtId="0" fontId="4" fillId="3"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wrapText="1"/>
    </xf>
    <xf numFmtId="0" fontId="4" fillId="0" borderId="1" applyAlignment="1" pivotButton="0" quotePrefix="0" xfId="0">
      <alignment horizontal="center" vertical="center"/>
    </xf>
    <xf numFmtId="0" fontId="1" fillId="4" borderId="1" applyAlignment="1" pivotButton="0" quotePrefix="0" xfId="0">
      <alignment horizontal="center" vertical="center" wrapText="1"/>
    </xf>
    <xf numFmtId="0" fontId="3" fillId="5" borderId="1" applyAlignment="1" pivotButton="0" quotePrefix="0" xfId="0">
      <alignment horizontal="center" vertical="center"/>
    </xf>
    <xf numFmtId="0" fontId="2" fillId="5" borderId="1" applyAlignment="1" pivotButton="0" quotePrefix="0" xfId="0">
      <alignment horizontal="left" vertical="center" wrapText="1"/>
    </xf>
    <xf numFmtId="0" fontId="4" fillId="5" borderId="1" applyAlignment="1" pivotButton="0" quotePrefix="0" xfId="0">
      <alignment horizontal="center" vertical="center"/>
    </xf>
    <xf numFmtId="0" fontId="1" fillId="6" borderId="1" applyAlignment="1" pivotButton="0" quotePrefix="0" xfId="0">
      <alignment horizontal="center" vertical="center" wrapText="1"/>
    </xf>
    <xf numFmtId="0" fontId="3" fillId="7" borderId="1" applyAlignment="1" pivotButton="0" quotePrefix="0" xfId="0">
      <alignment horizontal="center" vertical="center"/>
    </xf>
    <xf numFmtId="0" fontId="2"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5" fillId="10" borderId="2" applyAlignment="1" pivotButton="0" quotePrefix="0" xfId="0">
      <alignment horizontal="center" vertical="center" wrapText="1"/>
    </xf>
    <xf numFmtId="0" fontId="5" fillId="10" borderId="2" applyAlignment="1" pivotButton="0" quotePrefix="0" xfId="0">
      <alignment horizontal="left" vertical="center" wrapText="1"/>
    </xf>
    <xf numFmtId="0" fontId="6" fillId="10" borderId="2" applyAlignment="1" pivotButton="0" quotePrefix="0" xfId="0">
      <alignment horizontal="center" vertical="center" wrapText="1"/>
    </xf>
    <xf numFmtId="0" fontId="5" fillId="11" borderId="2" applyAlignment="1" pivotButton="0" quotePrefix="0" xfId="0">
      <alignment horizontal="center" vertical="center" wrapText="1"/>
    </xf>
    <xf numFmtId="0" fontId="5" fillId="11" borderId="2" applyAlignment="1" pivotButton="0" quotePrefix="0" xfId="0">
      <alignment horizontal="left" vertical="center" wrapText="1"/>
    </xf>
    <xf numFmtId="0" fontId="6" fillId="11"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runaic.github.io/Korea_History_Exel_CBT_System/toeic_cbt.html?q=1" TargetMode="External" Id="rId1"/><Relationship Type="http://schemas.openxmlformats.org/officeDocument/2006/relationships/hyperlink" Target="https://srunaic.github.io/Korea_History_Exel_CBT_System/toeic_cbt.html?q=2" TargetMode="External" Id="rId2"/><Relationship Type="http://schemas.openxmlformats.org/officeDocument/2006/relationships/hyperlink" Target="https://srunaic.github.io/Korea_History_Exel_CBT_System/toeic_cbt.html?q=3" TargetMode="External" Id="rId3"/><Relationship Type="http://schemas.openxmlformats.org/officeDocument/2006/relationships/hyperlink" Target="https://srunaic.github.io/Korea_History_Exel_CBT_System/toeic_cbt.html?q=4" TargetMode="External" Id="rId4"/><Relationship Type="http://schemas.openxmlformats.org/officeDocument/2006/relationships/hyperlink" Target="https://srunaic.github.io/Korea_History_Exel_CBT_System/toeic_cbt.html?q=5" TargetMode="External" Id="rId5"/><Relationship Type="http://schemas.openxmlformats.org/officeDocument/2006/relationships/hyperlink" Target="https://srunaic.github.io/Korea_History_Exel_CBT_System/toeic_cbt.html?q=6" TargetMode="External" Id="rId6"/><Relationship Type="http://schemas.openxmlformats.org/officeDocument/2006/relationships/hyperlink" Target="https://srunaic.github.io/Korea_History_Exel_CBT_System/toeic_cbt.html?q=7" TargetMode="External" Id="rId7"/><Relationship Type="http://schemas.openxmlformats.org/officeDocument/2006/relationships/hyperlink" Target="https://srunaic.github.io/Korea_History_Exel_CBT_System/toeic_cbt.html?q=8" TargetMode="External" Id="rId8"/><Relationship Type="http://schemas.openxmlformats.org/officeDocument/2006/relationships/hyperlink" Target="https://srunaic.github.io/Korea_History_Exel_CBT_System/toeic_cbt.html?q=9" TargetMode="External" Id="rId9"/><Relationship Type="http://schemas.openxmlformats.org/officeDocument/2006/relationships/hyperlink" Target="https://srunaic.github.io/Korea_History_Exel_CBT_System/toeic_cbt.html?q=10" TargetMode="External" Id="rId10"/><Relationship Type="http://schemas.openxmlformats.org/officeDocument/2006/relationships/hyperlink" Target="https://srunaic.github.io/Korea_History_Exel_CBT_System/toeic_cbt.html?q=11" TargetMode="External" Id="rId11"/><Relationship Type="http://schemas.openxmlformats.org/officeDocument/2006/relationships/hyperlink" Target="https://srunaic.github.io/Korea_History_Exel_CBT_System/toeic_cbt.html?q=12" TargetMode="External" Id="rId12"/><Relationship Type="http://schemas.openxmlformats.org/officeDocument/2006/relationships/hyperlink" Target="https://srunaic.github.io/Korea_History_Exel_CBT_System/toeic_cbt.html?q=13" TargetMode="External" Id="rId13"/><Relationship Type="http://schemas.openxmlformats.org/officeDocument/2006/relationships/hyperlink" Target="https://srunaic.github.io/Korea_History_Exel_CBT_System/toeic_cbt.html?q=14" TargetMode="External" Id="rId14"/><Relationship Type="http://schemas.openxmlformats.org/officeDocument/2006/relationships/hyperlink" Target="https://srunaic.github.io/Korea_History_Exel_CBT_System/toeic_cbt.html?q=15" TargetMode="External" Id="rId15"/><Relationship Type="http://schemas.openxmlformats.org/officeDocument/2006/relationships/hyperlink" Target="https://srunaic.github.io/Korea_History_Exel_CBT_System/toeic_cbt.html?q=16" TargetMode="External" Id="rId16"/><Relationship Type="http://schemas.openxmlformats.org/officeDocument/2006/relationships/hyperlink" Target="https://srunaic.github.io/Korea_History_Exel_CBT_System/toeic_cbt.html?q=17" TargetMode="External" Id="rId17"/><Relationship Type="http://schemas.openxmlformats.org/officeDocument/2006/relationships/hyperlink" Target="https://srunaic.github.io/Korea_History_Exel_CBT_System/toeic_cbt.html?q=18" TargetMode="External" Id="rId18"/><Relationship Type="http://schemas.openxmlformats.org/officeDocument/2006/relationships/hyperlink" Target="https://srunaic.github.io/Korea_History_Exel_CBT_System/toeic_cbt.html?q=19" TargetMode="External" Id="rId19"/><Relationship Type="http://schemas.openxmlformats.org/officeDocument/2006/relationships/hyperlink" Target="https://srunaic.github.io/Korea_History_Exel_CBT_System/toeic_cbt.html?q=20" TargetMode="External" Id="rId20"/><Relationship Type="http://schemas.openxmlformats.org/officeDocument/2006/relationships/hyperlink" Target="https://srunaic.github.io/Korea_History_Exel_CBT_System/toeic_cbt.html?q=21" TargetMode="External" Id="rId21"/><Relationship Type="http://schemas.openxmlformats.org/officeDocument/2006/relationships/hyperlink" Target="https://srunaic.github.io/Korea_History_Exel_CBT_System/toeic_cbt.html?q=22" TargetMode="External" Id="rId22"/><Relationship Type="http://schemas.openxmlformats.org/officeDocument/2006/relationships/hyperlink" Target="https://srunaic.github.io/Korea_History_Exel_CBT_System/toeic_cbt.html?q=23" TargetMode="External" Id="rId23"/><Relationship Type="http://schemas.openxmlformats.org/officeDocument/2006/relationships/hyperlink" Target="https://srunaic.github.io/Korea_History_Exel_CBT_System/toeic_cbt.html?q=24" TargetMode="External" Id="rId24"/><Relationship Type="http://schemas.openxmlformats.org/officeDocument/2006/relationships/hyperlink" Target="https://srunaic.github.io/Korea_History_Exel_CBT_System/toeic_cbt.html?q=25" TargetMode="External" Id="rId25"/><Relationship Type="http://schemas.openxmlformats.org/officeDocument/2006/relationships/hyperlink" Target="https://srunaic.github.io/Korea_History_Exel_CBT_System/toeic_cbt.html?q=26" TargetMode="External" Id="rId26"/><Relationship Type="http://schemas.openxmlformats.org/officeDocument/2006/relationships/hyperlink" Target="https://srunaic.github.io/Korea_History_Exel_CBT_System/toeic_cbt.html?q=27" TargetMode="External" Id="rId27"/><Relationship Type="http://schemas.openxmlformats.org/officeDocument/2006/relationships/hyperlink" Target="https://srunaic.github.io/Korea_History_Exel_CBT_System/toeic_cbt.html?q=28" TargetMode="External" Id="rId28"/><Relationship Type="http://schemas.openxmlformats.org/officeDocument/2006/relationships/hyperlink" Target="https://srunaic.github.io/Korea_History_Exel_CBT_System/toeic_cbt.html?q=29" TargetMode="External" Id="rId29"/><Relationship Type="http://schemas.openxmlformats.org/officeDocument/2006/relationships/hyperlink" Target="https://srunaic.github.io/Korea_History_Exel_CBT_System/toeic_cbt.html?q=30" TargetMode="External" Id="rId30"/><Relationship Type="http://schemas.openxmlformats.org/officeDocument/2006/relationships/hyperlink" Target="https://srunaic.github.io/Korea_History_Exel_CBT_System/toeic_cbt.html?q=31" TargetMode="External" Id="rId31"/><Relationship Type="http://schemas.openxmlformats.org/officeDocument/2006/relationships/hyperlink" Target="https://srunaic.github.io/Korea_History_Exel_CBT_System/toeic_cbt.html?q=32" TargetMode="External" Id="rId32"/><Relationship Type="http://schemas.openxmlformats.org/officeDocument/2006/relationships/hyperlink" Target="https://srunaic.github.io/Korea_History_Exel_CBT_System/toeic_cbt.html?q=33" TargetMode="External" Id="rId33"/><Relationship Type="http://schemas.openxmlformats.org/officeDocument/2006/relationships/hyperlink" Target="https://srunaic.github.io/Korea_History_Exel_CBT_System/toeic_cbt.html?q=34" TargetMode="External" Id="rId34"/><Relationship Type="http://schemas.openxmlformats.org/officeDocument/2006/relationships/hyperlink" Target="https://srunaic.github.io/Korea_History_Exel_CBT_System/toeic_cbt.html?q=35" TargetMode="External" Id="rId35"/><Relationship Type="http://schemas.openxmlformats.org/officeDocument/2006/relationships/hyperlink" Target="https://srunaic.github.io/Korea_History_Exel_CBT_System/toeic_cbt.html?q=36" TargetMode="External" Id="rId36"/><Relationship Type="http://schemas.openxmlformats.org/officeDocument/2006/relationships/hyperlink" Target="https://srunaic.github.io/Korea_History_Exel_CBT_System/toeic_cbt.html?q=37" TargetMode="External" Id="rId37"/><Relationship Type="http://schemas.openxmlformats.org/officeDocument/2006/relationships/hyperlink" Target="https://srunaic.github.io/Korea_History_Exel_CBT_System/toeic_cbt.html?q=38" TargetMode="External" Id="rId38"/><Relationship Type="http://schemas.openxmlformats.org/officeDocument/2006/relationships/hyperlink" Target="https://srunaic.github.io/Korea_History_Exel_CBT_System/toeic_cbt.html?q=39" TargetMode="External" Id="rId39"/><Relationship Type="http://schemas.openxmlformats.org/officeDocument/2006/relationships/hyperlink" Target="https://srunaic.github.io/Korea_History_Exel_CBT_System/toeic_cbt.html?q=40" TargetMode="External" Id="rId40"/><Relationship Type="http://schemas.openxmlformats.org/officeDocument/2006/relationships/hyperlink" Target="https://srunaic.github.io/Korea_History_Exel_CBT_System/toeic_cbt.html?q=41" TargetMode="External" Id="rId41"/><Relationship Type="http://schemas.openxmlformats.org/officeDocument/2006/relationships/hyperlink" Target="https://srunaic.github.io/Korea_History_Exel_CBT_System/toeic_cbt.html?q=42" TargetMode="External" Id="rId42"/><Relationship Type="http://schemas.openxmlformats.org/officeDocument/2006/relationships/hyperlink" Target="https://srunaic.github.io/Korea_History_Exel_CBT_System/toeic_cbt.html?q=43" TargetMode="External" Id="rId43"/><Relationship Type="http://schemas.openxmlformats.org/officeDocument/2006/relationships/hyperlink" Target="https://srunaic.github.io/Korea_History_Exel_CBT_System/toeic_cbt.html?q=44" TargetMode="External" Id="rId44"/><Relationship Type="http://schemas.openxmlformats.org/officeDocument/2006/relationships/hyperlink" Target="https://srunaic.github.io/Korea_History_Exel_CBT_System/toeic_cbt.html?q=45" TargetMode="External" Id="rId45"/><Relationship Type="http://schemas.openxmlformats.org/officeDocument/2006/relationships/hyperlink" Target="https://srunaic.github.io/Korea_History_Exel_CBT_System/toeic_cbt.html?q=46" TargetMode="External" Id="rId46"/><Relationship Type="http://schemas.openxmlformats.org/officeDocument/2006/relationships/hyperlink" Target="https://srunaic.github.io/Korea_History_Exel_CBT_System/toeic_cbt.html?q=47" TargetMode="External" Id="rId47"/><Relationship Type="http://schemas.openxmlformats.org/officeDocument/2006/relationships/hyperlink" Target="https://srunaic.github.io/Korea_History_Exel_CBT_System/toeic_cbt.html?q=48" TargetMode="External" Id="rId48"/><Relationship Type="http://schemas.openxmlformats.org/officeDocument/2006/relationships/hyperlink" Target="https://srunaic.github.io/Korea_History_Exel_CBT_System/toeic_cbt.html?q=49" TargetMode="External" Id="rId49"/><Relationship Type="http://schemas.openxmlformats.org/officeDocument/2006/relationships/hyperlink" Target="https://srunaic.github.io/Korea_History_Exel_CBT_System/toeic_cbt.html?q=50" TargetMode="External" Id="rId50"/><Relationship Type="http://schemas.openxmlformats.org/officeDocument/2006/relationships/hyperlink" Target="https://srunaic.github.io/Korea_History_Exel_CBT_System/toeic_cbt.html?q=51" TargetMode="External" Id="rId51"/><Relationship Type="http://schemas.openxmlformats.org/officeDocument/2006/relationships/hyperlink" Target="https://srunaic.github.io/Korea_History_Exel_CBT_System/toeic_cbt.html?q=52" TargetMode="External" Id="rId52"/><Relationship Type="http://schemas.openxmlformats.org/officeDocument/2006/relationships/hyperlink" Target="https://srunaic.github.io/Korea_History_Exel_CBT_System/toeic_cbt.html?q=53" TargetMode="External" Id="rId53"/><Relationship Type="http://schemas.openxmlformats.org/officeDocument/2006/relationships/hyperlink" Target="https://srunaic.github.io/Korea_History_Exel_CBT_System/toeic_cbt.html?q=54" TargetMode="External" Id="rId54"/><Relationship Type="http://schemas.openxmlformats.org/officeDocument/2006/relationships/hyperlink" Target="https://srunaic.github.io/Korea_History_Exel_CBT_System/toeic_cbt.html?q=55" TargetMode="External" Id="rId55"/><Relationship Type="http://schemas.openxmlformats.org/officeDocument/2006/relationships/hyperlink" Target="https://srunaic.github.io/Korea_History_Exel_CBT_System/toeic_cbt.html?q=56" TargetMode="External" Id="rId56"/><Relationship Type="http://schemas.openxmlformats.org/officeDocument/2006/relationships/hyperlink" Target="https://srunaic.github.io/Korea_History_Exel_CBT_System/toeic_cbt.html?q=57" TargetMode="External" Id="rId57"/><Relationship Type="http://schemas.openxmlformats.org/officeDocument/2006/relationships/hyperlink" Target="https://srunaic.github.io/Korea_History_Exel_CBT_System/toeic_cbt.html?q=58" TargetMode="External" Id="rId58"/><Relationship Type="http://schemas.openxmlformats.org/officeDocument/2006/relationships/hyperlink" Target="https://srunaic.github.io/Korea_History_Exel_CBT_System/toeic_cbt.html?q=59" TargetMode="External" Id="rId59"/><Relationship Type="http://schemas.openxmlformats.org/officeDocument/2006/relationships/hyperlink" Target="https://srunaic.github.io/Korea_History_Exel_CBT_System/toeic_cbt.html?q=60" TargetMode="External" Id="rId60"/><Relationship Type="http://schemas.openxmlformats.org/officeDocument/2006/relationships/hyperlink" Target="https://srunaic.github.io/Korea_History_Exel_CBT_System/toeic_cbt.html?q=61" TargetMode="External" Id="rId61"/><Relationship Type="http://schemas.openxmlformats.org/officeDocument/2006/relationships/hyperlink" Target="https://srunaic.github.io/Korea_History_Exel_CBT_System/toeic_cbt.html?q=62" TargetMode="External" Id="rId62"/><Relationship Type="http://schemas.openxmlformats.org/officeDocument/2006/relationships/hyperlink" Target="https://srunaic.github.io/Korea_History_Exel_CBT_System/toeic_cbt.html?q=63" TargetMode="External" Id="rId63"/><Relationship Type="http://schemas.openxmlformats.org/officeDocument/2006/relationships/hyperlink" Target="https://srunaic.github.io/Korea_History_Exel_CBT_System/toeic_cbt.html?q=64" TargetMode="External" Id="rId64"/><Relationship Type="http://schemas.openxmlformats.org/officeDocument/2006/relationships/hyperlink" Target="https://srunaic.github.io/Korea_History_Exel_CBT_System/toeic_cbt.html?q=65" TargetMode="External" Id="rId65"/><Relationship Type="http://schemas.openxmlformats.org/officeDocument/2006/relationships/hyperlink" Target="https://srunaic.github.io/Korea_History_Exel_CBT_System/toeic_cbt.html?q=66" TargetMode="External" Id="rId66"/><Relationship Type="http://schemas.openxmlformats.org/officeDocument/2006/relationships/hyperlink" Target="https://srunaic.github.io/Korea_History_Exel_CBT_System/toeic_cbt.html?q=67" TargetMode="External" Id="rId67"/><Relationship Type="http://schemas.openxmlformats.org/officeDocument/2006/relationships/hyperlink" Target="https://srunaic.github.io/Korea_History_Exel_CBT_System/toeic_cbt.html?q=68" TargetMode="External" Id="rId68"/><Relationship Type="http://schemas.openxmlformats.org/officeDocument/2006/relationships/hyperlink" Target="https://srunaic.github.io/Korea_History_Exel_CBT_System/toeic_cbt.html?q=69" TargetMode="External" Id="rId69"/><Relationship Type="http://schemas.openxmlformats.org/officeDocument/2006/relationships/hyperlink" Target="https://srunaic.github.io/Korea_History_Exel_CBT_System/toeic_cbt.html?q=70" TargetMode="External" Id="rId70"/><Relationship Type="http://schemas.openxmlformats.org/officeDocument/2006/relationships/hyperlink" Target="https://srunaic.github.io/Korea_History_Exel_CBT_System/toeic_cbt.html?q=71" TargetMode="External" Id="rId71"/><Relationship Type="http://schemas.openxmlformats.org/officeDocument/2006/relationships/hyperlink" Target="https://srunaic.github.io/Korea_History_Exel_CBT_System/toeic_cbt.html?q=72" TargetMode="External" Id="rId72"/><Relationship Type="http://schemas.openxmlformats.org/officeDocument/2006/relationships/hyperlink" Target="https://srunaic.github.io/Korea_History_Exel_CBT_System/toeic_cbt.html?q=73" TargetMode="External" Id="rId73"/><Relationship Type="http://schemas.openxmlformats.org/officeDocument/2006/relationships/hyperlink" Target="https://srunaic.github.io/Korea_History_Exel_CBT_System/toeic_cbt.html?q=74" TargetMode="External" Id="rId74"/><Relationship Type="http://schemas.openxmlformats.org/officeDocument/2006/relationships/hyperlink" Target="https://srunaic.github.io/Korea_History_Exel_CBT_System/toeic_cbt.html?q=75" TargetMode="External" Id="rId75"/><Relationship Type="http://schemas.openxmlformats.org/officeDocument/2006/relationships/hyperlink" Target="https://srunaic.github.io/Korea_History_Exel_CBT_System/toeic_cbt.html?q=76" TargetMode="External" Id="rId76"/><Relationship Type="http://schemas.openxmlformats.org/officeDocument/2006/relationships/hyperlink" Target="https://srunaic.github.io/Korea_History_Exel_CBT_System/toeic_cbt.html?q=77" TargetMode="External" Id="rId77"/><Relationship Type="http://schemas.openxmlformats.org/officeDocument/2006/relationships/hyperlink" Target="https://srunaic.github.io/Korea_History_Exel_CBT_System/toeic_cbt.html?q=78" TargetMode="External" Id="rId78"/><Relationship Type="http://schemas.openxmlformats.org/officeDocument/2006/relationships/hyperlink" Target="https://srunaic.github.io/Korea_History_Exel_CBT_System/toeic_cbt.html?q=79" TargetMode="External" Id="rId79"/><Relationship Type="http://schemas.openxmlformats.org/officeDocument/2006/relationships/hyperlink" Target="https://srunaic.github.io/Korea_History_Exel_CBT_System/toeic_cbt.html?q=80" TargetMode="External" Id="rId80"/><Relationship Type="http://schemas.openxmlformats.org/officeDocument/2006/relationships/hyperlink" Target="https://srunaic.github.io/Korea_History_Exel_CBT_System/toeic_cbt.html?q=81" TargetMode="External" Id="rId81"/><Relationship Type="http://schemas.openxmlformats.org/officeDocument/2006/relationships/hyperlink" Target="https://srunaic.github.io/Korea_History_Exel_CBT_System/toeic_cbt.html?q=82" TargetMode="External" Id="rId82"/><Relationship Type="http://schemas.openxmlformats.org/officeDocument/2006/relationships/hyperlink" Target="https://srunaic.github.io/Korea_History_Exel_CBT_System/toeic_cbt.html?q=83" TargetMode="External" Id="rId83"/><Relationship Type="http://schemas.openxmlformats.org/officeDocument/2006/relationships/hyperlink" Target="https://srunaic.github.io/Korea_History_Exel_CBT_System/toeic_cbt.html?q=84" TargetMode="External" Id="rId84"/><Relationship Type="http://schemas.openxmlformats.org/officeDocument/2006/relationships/hyperlink" Target="https://srunaic.github.io/Korea_History_Exel_CBT_System/toeic_cbt.html?q=85" TargetMode="External" Id="rId85"/><Relationship Type="http://schemas.openxmlformats.org/officeDocument/2006/relationships/hyperlink" Target="https://srunaic.github.io/Korea_History_Exel_CBT_System/toeic_cbt.html?q=86" TargetMode="External" Id="rId86"/><Relationship Type="http://schemas.openxmlformats.org/officeDocument/2006/relationships/hyperlink" Target="https://srunaic.github.io/Korea_History_Exel_CBT_System/toeic_cbt.html?q=87" TargetMode="External" Id="rId87"/><Relationship Type="http://schemas.openxmlformats.org/officeDocument/2006/relationships/hyperlink" Target="https://srunaic.github.io/Korea_History_Exel_CBT_System/toeic_cbt.html?q=88" TargetMode="External" Id="rId88"/><Relationship Type="http://schemas.openxmlformats.org/officeDocument/2006/relationships/hyperlink" Target="https://srunaic.github.io/Korea_History_Exel_CBT_System/toeic_cbt.html?q=89" TargetMode="External" Id="rId89"/><Relationship Type="http://schemas.openxmlformats.org/officeDocument/2006/relationships/hyperlink" Target="https://srunaic.github.io/Korea_History_Exel_CBT_System/toeic_cbt.html?q=90" TargetMode="External" Id="rId90"/><Relationship Type="http://schemas.openxmlformats.org/officeDocument/2006/relationships/hyperlink" Target="https://srunaic.github.io/Korea_History_Exel_CBT_System/toeic_cbt.html?q=91" TargetMode="External" Id="rId91"/><Relationship Type="http://schemas.openxmlformats.org/officeDocument/2006/relationships/hyperlink" Target="https://srunaic.github.io/Korea_History_Exel_CBT_System/toeic_cbt.html?q=92" TargetMode="External" Id="rId92"/><Relationship Type="http://schemas.openxmlformats.org/officeDocument/2006/relationships/hyperlink" Target="https://srunaic.github.io/Korea_History_Exel_CBT_System/toeic_cbt.html?q=93" TargetMode="External" Id="rId93"/><Relationship Type="http://schemas.openxmlformats.org/officeDocument/2006/relationships/hyperlink" Target="https://srunaic.github.io/Korea_History_Exel_CBT_System/toeic_cbt.html?q=94" TargetMode="External" Id="rId94"/><Relationship Type="http://schemas.openxmlformats.org/officeDocument/2006/relationships/hyperlink" Target="https://srunaic.github.io/Korea_History_Exel_CBT_System/toeic_cbt.html?q=95" TargetMode="External" Id="rId95"/><Relationship Type="http://schemas.openxmlformats.org/officeDocument/2006/relationships/hyperlink" Target="https://srunaic.github.io/Korea_History_Exel_CBT_System/toeic_cbt.html?q=96" TargetMode="External" Id="rId96"/><Relationship Type="http://schemas.openxmlformats.org/officeDocument/2006/relationships/hyperlink" Target="https://srunaic.github.io/Korea_History_Exel_CBT_System/toeic_cbt.html?q=97" TargetMode="External" Id="rId97"/><Relationship Type="http://schemas.openxmlformats.org/officeDocument/2006/relationships/hyperlink" Target="https://srunaic.github.io/Korea_History_Exel_CBT_System/toeic_cbt.html?q=98" TargetMode="External" Id="rId98"/><Relationship Type="http://schemas.openxmlformats.org/officeDocument/2006/relationships/hyperlink" Target="https://srunaic.github.io/Korea_History_Exel_CBT_System/toeic_cbt.html?q=99" TargetMode="External" Id="rId99"/><Relationship Type="http://schemas.openxmlformats.org/officeDocument/2006/relationships/hyperlink" Target="https://srunaic.github.io/Korea_History_Exel_CBT_System/toeic_cbt.html?q=100" TargetMode="External" Id="rId100"/></Relationships>
</file>

<file path=xl/worksheets/_rels/sheet2.xml.rels><Relationships xmlns="http://schemas.openxmlformats.org/package/2006/relationships"><Relationship Type="http://schemas.openxmlformats.org/officeDocument/2006/relationships/hyperlink" Target="https://srunaic.github.io/Korea_History_Exel_CBT_System/toeic_cbt.html?q=101" TargetMode="External" Id="rId1"/><Relationship Type="http://schemas.openxmlformats.org/officeDocument/2006/relationships/hyperlink" Target="https://srunaic.github.io/Korea_History_Exel_CBT_System/toeic_cbt.html?q=102" TargetMode="External" Id="rId2"/><Relationship Type="http://schemas.openxmlformats.org/officeDocument/2006/relationships/hyperlink" Target="https://srunaic.github.io/Korea_History_Exel_CBT_System/toeic_cbt.html?q=103" TargetMode="External" Id="rId3"/><Relationship Type="http://schemas.openxmlformats.org/officeDocument/2006/relationships/hyperlink" Target="https://srunaic.github.io/Korea_History_Exel_CBT_System/toeic_cbt.html?q=104" TargetMode="External" Id="rId4"/><Relationship Type="http://schemas.openxmlformats.org/officeDocument/2006/relationships/hyperlink" Target="https://srunaic.github.io/Korea_History_Exel_CBT_System/toeic_cbt.html?q=105" TargetMode="External" Id="rId5"/><Relationship Type="http://schemas.openxmlformats.org/officeDocument/2006/relationships/hyperlink" Target="https://srunaic.github.io/Korea_History_Exel_CBT_System/toeic_cbt.html?q=106" TargetMode="External" Id="rId6"/><Relationship Type="http://schemas.openxmlformats.org/officeDocument/2006/relationships/hyperlink" Target="https://srunaic.github.io/Korea_History_Exel_CBT_System/toeic_cbt.html?q=107" TargetMode="External" Id="rId7"/><Relationship Type="http://schemas.openxmlformats.org/officeDocument/2006/relationships/hyperlink" Target="https://srunaic.github.io/Korea_History_Exel_CBT_System/toeic_cbt.html?q=108" TargetMode="External" Id="rId8"/><Relationship Type="http://schemas.openxmlformats.org/officeDocument/2006/relationships/hyperlink" Target="https://srunaic.github.io/Korea_History_Exel_CBT_System/toeic_cbt.html?q=109" TargetMode="External" Id="rId9"/><Relationship Type="http://schemas.openxmlformats.org/officeDocument/2006/relationships/hyperlink" Target="https://srunaic.github.io/Korea_History_Exel_CBT_System/toeic_cbt.html?q=110" TargetMode="External" Id="rId10"/><Relationship Type="http://schemas.openxmlformats.org/officeDocument/2006/relationships/hyperlink" Target="https://srunaic.github.io/Korea_History_Exel_CBT_System/toeic_cbt.html?q=111" TargetMode="External" Id="rId11"/><Relationship Type="http://schemas.openxmlformats.org/officeDocument/2006/relationships/hyperlink" Target="https://srunaic.github.io/Korea_History_Exel_CBT_System/toeic_cbt.html?q=112" TargetMode="External" Id="rId12"/><Relationship Type="http://schemas.openxmlformats.org/officeDocument/2006/relationships/hyperlink" Target="https://srunaic.github.io/Korea_History_Exel_CBT_System/toeic_cbt.html?q=113" TargetMode="External" Id="rId13"/><Relationship Type="http://schemas.openxmlformats.org/officeDocument/2006/relationships/hyperlink" Target="https://srunaic.github.io/Korea_History_Exel_CBT_System/toeic_cbt.html?q=114" TargetMode="External" Id="rId14"/><Relationship Type="http://schemas.openxmlformats.org/officeDocument/2006/relationships/hyperlink" Target="https://srunaic.github.io/Korea_History_Exel_CBT_System/toeic_cbt.html?q=115" TargetMode="External" Id="rId15"/><Relationship Type="http://schemas.openxmlformats.org/officeDocument/2006/relationships/hyperlink" Target="https://srunaic.github.io/Korea_History_Exel_CBT_System/toeic_cbt.html?q=116" TargetMode="External" Id="rId16"/><Relationship Type="http://schemas.openxmlformats.org/officeDocument/2006/relationships/hyperlink" Target="https://srunaic.github.io/Korea_History_Exel_CBT_System/toeic_cbt.html?q=117" TargetMode="External" Id="rId17"/><Relationship Type="http://schemas.openxmlformats.org/officeDocument/2006/relationships/hyperlink" Target="https://srunaic.github.io/Korea_History_Exel_CBT_System/toeic_cbt.html?q=118" TargetMode="External" Id="rId18"/><Relationship Type="http://schemas.openxmlformats.org/officeDocument/2006/relationships/hyperlink" Target="https://srunaic.github.io/Korea_History_Exel_CBT_System/toeic_cbt.html?q=119" TargetMode="External" Id="rId19"/><Relationship Type="http://schemas.openxmlformats.org/officeDocument/2006/relationships/hyperlink" Target="https://srunaic.github.io/Korea_History_Exel_CBT_System/toeic_cbt.html?q=120" TargetMode="External" Id="rId20"/><Relationship Type="http://schemas.openxmlformats.org/officeDocument/2006/relationships/hyperlink" Target="https://srunaic.github.io/Korea_History_Exel_CBT_System/toeic_cbt.html?q=121" TargetMode="External" Id="rId21"/><Relationship Type="http://schemas.openxmlformats.org/officeDocument/2006/relationships/hyperlink" Target="https://srunaic.github.io/Korea_History_Exel_CBT_System/toeic_cbt.html?q=122" TargetMode="External" Id="rId22"/><Relationship Type="http://schemas.openxmlformats.org/officeDocument/2006/relationships/hyperlink" Target="https://srunaic.github.io/Korea_History_Exel_CBT_System/toeic_cbt.html?q=123" TargetMode="External" Id="rId23"/><Relationship Type="http://schemas.openxmlformats.org/officeDocument/2006/relationships/hyperlink" Target="https://srunaic.github.io/Korea_History_Exel_CBT_System/toeic_cbt.html?q=124" TargetMode="External" Id="rId24"/><Relationship Type="http://schemas.openxmlformats.org/officeDocument/2006/relationships/hyperlink" Target="https://srunaic.github.io/Korea_History_Exel_CBT_System/toeic_cbt.html?q=125" TargetMode="External" Id="rId25"/><Relationship Type="http://schemas.openxmlformats.org/officeDocument/2006/relationships/hyperlink" Target="https://srunaic.github.io/Korea_History_Exel_CBT_System/toeic_cbt.html?q=126" TargetMode="External" Id="rId26"/><Relationship Type="http://schemas.openxmlformats.org/officeDocument/2006/relationships/hyperlink" Target="https://srunaic.github.io/Korea_History_Exel_CBT_System/toeic_cbt.html?q=127" TargetMode="External" Id="rId27"/><Relationship Type="http://schemas.openxmlformats.org/officeDocument/2006/relationships/hyperlink" Target="https://srunaic.github.io/Korea_History_Exel_CBT_System/toeic_cbt.html?q=128" TargetMode="External" Id="rId28"/><Relationship Type="http://schemas.openxmlformats.org/officeDocument/2006/relationships/hyperlink" Target="https://srunaic.github.io/Korea_History_Exel_CBT_System/toeic_cbt.html?q=129" TargetMode="External" Id="rId29"/><Relationship Type="http://schemas.openxmlformats.org/officeDocument/2006/relationships/hyperlink" Target="https://srunaic.github.io/Korea_History_Exel_CBT_System/toeic_cbt.html?q=130" TargetMode="External" Id="rId30"/><Relationship Type="http://schemas.openxmlformats.org/officeDocument/2006/relationships/hyperlink" Target="https://srunaic.github.io/Korea_History_Exel_CBT_System/toeic_cbt.html?q=131" TargetMode="External" Id="rId31"/><Relationship Type="http://schemas.openxmlformats.org/officeDocument/2006/relationships/hyperlink" Target="https://srunaic.github.io/Korea_History_Exel_CBT_System/toeic_cbt.html?q=132" TargetMode="External" Id="rId32"/><Relationship Type="http://schemas.openxmlformats.org/officeDocument/2006/relationships/hyperlink" Target="https://srunaic.github.io/Korea_History_Exel_CBT_System/toeic_cbt.html?q=133" TargetMode="External" Id="rId33"/><Relationship Type="http://schemas.openxmlformats.org/officeDocument/2006/relationships/hyperlink" Target="https://srunaic.github.io/Korea_History_Exel_CBT_System/toeic_cbt.html?q=134" TargetMode="External" Id="rId34"/><Relationship Type="http://schemas.openxmlformats.org/officeDocument/2006/relationships/hyperlink" Target="https://srunaic.github.io/Korea_History_Exel_CBT_System/toeic_cbt.html?q=135" TargetMode="External" Id="rId35"/><Relationship Type="http://schemas.openxmlformats.org/officeDocument/2006/relationships/hyperlink" Target="https://srunaic.github.io/Korea_History_Exel_CBT_System/toeic_cbt.html?q=136" TargetMode="External" Id="rId36"/><Relationship Type="http://schemas.openxmlformats.org/officeDocument/2006/relationships/hyperlink" Target="https://srunaic.github.io/Korea_History_Exel_CBT_System/toeic_cbt.html?q=137" TargetMode="External" Id="rId37"/><Relationship Type="http://schemas.openxmlformats.org/officeDocument/2006/relationships/hyperlink" Target="https://srunaic.github.io/Korea_History_Exel_CBT_System/toeic_cbt.html?q=138" TargetMode="External" Id="rId38"/><Relationship Type="http://schemas.openxmlformats.org/officeDocument/2006/relationships/hyperlink" Target="https://srunaic.github.io/Korea_History_Exel_CBT_System/toeic_cbt.html?q=139" TargetMode="External" Id="rId39"/><Relationship Type="http://schemas.openxmlformats.org/officeDocument/2006/relationships/hyperlink" Target="https://srunaic.github.io/Korea_History_Exel_CBT_System/toeic_cbt.html?q=140" TargetMode="External" Id="rId40"/><Relationship Type="http://schemas.openxmlformats.org/officeDocument/2006/relationships/hyperlink" Target="https://srunaic.github.io/Korea_History_Exel_CBT_System/toeic_cbt.html?q=141" TargetMode="External" Id="rId41"/><Relationship Type="http://schemas.openxmlformats.org/officeDocument/2006/relationships/hyperlink" Target="https://srunaic.github.io/Korea_History_Exel_CBT_System/toeic_cbt.html?q=142" TargetMode="External" Id="rId42"/><Relationship Type="http://schemas.openxmlformats.org/officeDocument/2006/relationships/hyperlink" Target="https://srunaic.github.io/Korea_History_Exel_CBT_System/toeic_cbt.html?q=143" TargetMode="External" Id="rId43"/><Relationship Type="http://schemas.openxmlformats.org/officeDocument/2006/relationships/hyperlink" Target="https://srunaic.github.io/Korea_History_Exel_CBT_System/toeic_cbt.html?q=144" TargetMode="External" Id="rId44"/><Relationship Type="http://schemas.openxmlformats.org/officeDocument/2006/relationships/hyperlink" Target="https://srunaic.github.io/Korea_History_Exel_CBT_System/toeic_cbt.html?q=145" TargetMode="External" Id="rId45"/><Relationship Type="http://schemas.openxmlformats.org/officeDocument/2006/relationships/hyperlink" Target="https://srunaic.github.io/Korea_History_Exel_CBT_System/toeic_cbt.html?q=146" TargetMode="External" Id="rId46"/><Relationship Type="http://schemas.openxmlformats.org/officeDocument/2006/relationships/hyperlink" Target="https://srunaic.github.io/Korea_History_Exel_CBT_System/toeic_cbt.html?q=147" TargetMode="External" Id="rId47"/><Relationship Type="http://schemas.openxmlformats.org/officeDocument/2006/relationships/hyperlink" Target="https://srunaic.github.io/Korea_History_Exel_CBT_System/toeic_cbt.html?q=148" TargetMode="External" Id="rId48"/><Relationship Type="http://schemas.openxmlformats.org/officeDocument/2006/relationships/hyperlink" Target="https://srunaic.github.io/Korea_History_Exel_CBT_System/toeic_cbt.html?q=149" TargetMode="External" Id="rId49"/><Relationship Type="http://schemas.openxmlformats.org/officeDocument/2006/relationships/hyperlink" Target="https://srunaic.github.io/Korea_History_Exel_CBT_System/toeic_cbt.html?q=150" TargetMode="External" Id="rId50"/><Relationship Type="http://schemas.openxmlformats.org/officeDocument/2006/relationships/hyperlink" Target="https://srunaic.github.io/Korea_History_Exel_CBT_System/toeic_cbt.html?q=151" TargetMode="External" Id="rId51"/><Relationship Type="http://schemas.openxmlformats.org/officeDocument/2006/relationships/hyperlink" Target="https://srunaic.github.io/Korea_History_Exel_CBT_System/toeic_cbt.html?q=152" TargetMode="External" Id="rId52"/><Relationship Type="http://schemas.openxmlformats.org/officeDocument/2006/relationships/hyperlink" Target="https://srunaic.github.io/Korea_History_Exel_CBT_System/toeic_cbt.html?q=153" TargetMode="External" Id="rId53"/><Relationship Type="http://schemas.openxmlformats.org/officeDocument/2006/relationships/hyperlink" Target="https://srunaic.github.io/Korea_History_Exel_CBT_System/toeic_cbt.html?q=154" TargetMode="External" Id="rId54"/><Relationship Type="http://schemas.openxmlformats.org/officeDocument/2006/relationships/hyperlink" Target="https://srunaic.github.io/Korea_History_Exel_CBT_System/toeic_cbt.html?q=155" TargetMode="External" Id="rId55"/><Relationship Type="http://schemas.openxmlformats.org/officeDocument/2006/relationships/hyperlink" Target="https://srunaic.github.io/Korea_History_Exel_CBT_System/toeic_cbt.html?q=156" TargetMode="External" Id="rId56"/><Relationship Type="http://schemas.openxmlformats.org/officeDocument/2006/relationships/hyperlink" Target="https://srunaic.github.io/Korea_History_Exel_CBT_System/toeic_cbt.html?q=157" TargetMode="External" Id="rId57"/><Relationship Type="http://schemas.openxmlformats.org/officeDocument/2006/relationships/hyperlink" Target="https://srunaic.github.io/Korea_History_Exel_CBT_System/toeic_cbt.html?q=158" TargetMode="External" Id="rId58"/><Relationship Type="http://schemas.openxmlformats.org/officeDocument/2006/relationships/hyperlink" Target="https://srunaic.github.io/Korea_History_Exel_CBT_System/toeic_cbt.html?q=159" TargetMode="External" Id="rId59"/><Relationship Type="http://schemas.openxmlformats.org/officeDocument/2006/relationships/hyperlink" Target="https://srunaic.github.io/Korea_History_Exel_CBT_System/toeic_cbt.html?q=160" TargetMode="External" Id="rId60"/><Relationship Type="http://schemas.openxmlformats.org/officeDocument/2006/relationships/hyperlink" Target="https://srunaic.github.io/Korea_History_Exel_CBT_System/toeic_cbt.html?q=161" TargetMode="External" Id="rId61"/><Relationship Type="http://schemas.openxmlformats.org/officeDocument/2006/relationships/hyperlink" Target="https://srunaic.github.io/Korea_History_Exel_CBT_System/toeic_cbt.html?q=162" TargetMode="External" Id="rId62"/><Relationship Type="http://schemas.openxmlformats.org/officeDocument/2006/relationships/hyperlink" Target="https://srunaic.github.io/Korea_History_Exel_CBT_System/toeic_cbt.html?q=163" TargetMode="External" Id="rId63"/><Relationship Type="http://schemas.openxmlformats.org/officeDocument/2006/relationships/hyperlink" Target="https://srunaic.github.io/Korea_History_Exel_CBT_System/toeic_cbt.html?q=164" TargetMode="External" Id="rId64"/><Relationship Type="http://schemas.openxmlformats.org/officeDocument/2006/relationships/hyperlink" Target="https://srunaic.github.io/Korea_History_Exel_CBT_System/toeic_cbt.html?q=165" TargetMode="External" Id="rId65"/><Relationship Type="http://schemas.openxmlformats.org/officeDocument/2006/relationships/hyperlink" Target="https://srunaic.github.io/Korea_History_Exel_CBT_System/toeic_cbt.html?q=166" TargetMode="External" Id="rId66"/><Relationship Type="http://schemas.openxmlformats.org/officeDocument/2006/relationships/hyperlink" Target="https://srunaic.github.io/Korea_History_Exel_CBT_System/toeic_cbt.html?q=167" TargetMode="External" Id="rId67"/><Relationship Type="http://schemas.openxmlformats.org/officeDocument/2006/relationships/hyperlink" Target="https://srunaic.github.io/Korea_History_Exel_CBT_System/toeic_cbt.html?q=168" TargetMode="External" Id="rId68"/><Relationship Type="http://schemas.openxmlformats.org/officeDocument/2006/relationships/hyperlink" Target="https://srunaic.github.io/Korea_History_Exel_CBT_System/toeic_cbt.html?q=169" TargetMode="External" Id="rId69"/><Relationship Type="http://schemas.openxmlformats.org/officeDocument/2006/relationships/hyperlink" Target="https://srunaic.github.io/Korea_History_Exel_CBT_System/toeic_cbt.html?q=170" TargetMode="External" Id="rId70"/><Relationship Type="http://schemas.openxmlformats.org/officeDocument/2006/relationships/hyperlink" Target="https://srunaic.github.io/Korea_History_Exel_CBT_System/toeic_cbt.html?q=171" TargetMode="External" Id="rId71"/><Relationship Type="http://schemas.openxmlformats.org/officeDocument/2006/relationships/hyperlink" Target="https://srunaic.github.io/Korea_History_Exel_CBT_System/toeic_cbt.html?q=172" TargetMode="External" Id="rId72"/><Relationship Type="http://schemas.openxmlformats.org/officeDocument/2006/relationships/hyperlink" Target="https://srunaic.github.io/Korea_History_Exel_CBT_System/toeic_cbt.html?q=173" TargetMode="External" Id="rId73"/><Relationship Type="http://schemas.openxmlformats.org/officeDocument/2006/relationships/hyperlink" Target="https://srunaic.github.io/Korea_History_Exel_CBT_System/toeic_cbt.html?q=174" TargetMode="External" Id="rId74"/><Relationship Type="http://schemas.openxmlformats.org/officeDocument/2006/relationships/hyperlink" Target="https://srunaic.github.io/Korea_History_Exel_CBT_System/toeic_cbt.html?q=175" TargetMode="External" Id="rId75"/><Relationship Type="http://schemas.openxmlformats.org/officeDocument/2006/relationships/hyperlink" Target="https://srunaic.github.io/Korea_History_Exel_CBT_System/toeic_cbt.html?q=176" TargetMode="External" Id="rId76"/><Relationship Type="http://schemas.openxmlformats.org/officeDocument/2006/relationships/hyperlink" Target="https://srunaic.github.io/Korea_History_Exel_CBT_System/toeic_cbt.html?q=177" TargetMode="External" Id="rId77"/><Relationship Type="http://schemas.openxmlformats.org/officeDocument/2006/relationships/hyperlink" Target="https://srunaic.github.io/Korea_History_Exel_CBT_System/toeic_cbt.html?q=178" TargetMode="External" Id="rId78"/><Relationship Type="http://schemas.openxmlformats.org/officeDocument/2006/relationships/hyperlink" Target="https://srunaic.github.io/Korea_History_Exel_CBT_System/toeic_cbt.html?q=179" TargetMode="External" Id="rId79"/><Relationship Type="http://schemas.openxmlformats.org/officeDocument/2006/relationships/hyperlink" Target="https://srunaic.github.io/Korea_History_Exel_CBT_System/toeic_cbt.html?q=180" TargetMode="External" Id="rId80"/><Relationship Type="http://schemas.openxmlformats.org/officeDocument/2006/relationships/hyperlink" Target="https://srunaic.github.io/Korea_History_Exel_CBT_System/toeic_cbt.html?q=181" TargetMode="External" Id="rId81"/><Relationship Type="http://schemas.openxmlformats.org/officeDocument/2006/relationships/hyperlink" Target="https://srunaic.github.io/Korea_History_Exel_CBT_System/toeic_cbt.html?q=182" TargetMode="External" Id="rId82"/><Relationship Type="http://schemas.openxmlformats.org/officeDocument/2006/relationships/hyperlink" Target="https://srunaic.github.io/Korea_History_Exel_CBT_System/toeic_cbt.html?q=183" TargetMode="External" Id="rId83"/><Relationship Type="http://schemas.openxmlformats.org/officeDocument/2006/relationships/hyperlink" Target="https://srunaic.github.io/Korea_History_Exel_CBT_System/toeic_cbt.html?q=184" TargetMode="External" Id="rId84"/><Relationship Type="http://schemas.openxmlformats.org/officeDocument/2006/relationships/hyperlink" Target="https://srunaic.github.io/Korea_History_Exel_CBT_System/toeic_cbt.html?q=185" TargetMode="External" Id="rId85"/><Relationship Type="http://schemas.openxmlformats.org/officeDocument/2006/relationships/hyperlink" Target="https://srunaic.github.io/Korea_History_Exel_CBT_System/toeic_cbt.html?q=186" TargetMode="External" Id="rId86"/><Relationship Type="http://schemas.openxmlformats.org/officeDocument/2006/relationships/hyperlink" Target="https://srunaic.github.io/Korea_History_Exel_CBT_System/toeic_cbt.html?q=187" TargetMode="External" Id="rId87"/><Relationship Type="http://schemas.openxmlformats.org/officeDocument/2006/relationships/hyperlink" Target="https://srunaic.github.io/Korea_History_Exel_CBT_System/toeic_cbt.html?q=188" TargetMode="External" Id="rId88"/><Relationship Type="http://schemas.openxmlformats.org/officeDocument/2006/relationships/hyperlink" Target="https://srunaic.github.io/Korea_History_Exel_CBT_System/toeic_cbt.html?q=189" TargetMode="External" Id="rId89"/><Relationship Type="http://schemas.openxmlformats.org/officeDocument/2006/relationships/hyperlink" Target="https://srunaic.github.io/Korea_History_Exel_CBT_System/toeic_cbt.html?q=190" TargetMode="External" Id="rId90"/><Relationship Type="http://schemas.openxmlformats.org/officeDocument/2006/relationships/hyperlink" Target="https://srunaic.github.io/Korea_History_Exel_CBT_System/toeic_cbt.html?q=191" TargetMode="External" Id="rId91"/><Relationship Type="http://schemas.openxmlformats.org/officeDocument/2006/relationships/hyperlink" Target="https://srunaic.github.io/Korea_History_Exel_CBT_System/toeic_cbt.html?q=192" TargetMode="External" Id="rId92"/><Relationship Type="http://schemas.openxmlformats.org/officeDocument/2006/relationships/hyperlink" Target="https://srunaic.github.io/Korea_History_Exel_CBT_System/toeic_cbt.html?q=193" TargetMode="External" Id="rId93"/><Relationship Type="http://schemas.openxmlformats.org/officeDocument/2006/relationships/hyperlink" Target="https://srunaic.github.io/Korea_History_Exel_CBT_System/toeic_cbt.html?q=194" TargetMode="External" Id="rId94"/><Relationship Type="http://schemas.openxmlformats.org/officeDocument/2006/relationships/hyperlink" Target="https://srunaic.github.io/Korea_History_Exel_CBT_System/toeic_cbt.html?q=195" TargetMode="External" Id="rId95"/><Relationship Type="http://schemas.openxmlformats.org/officeDocument/2006/relationships/hyperlink" Target="https://srunaic.github.io/Korea_History_Exel_CBT_System/toeic_cbt.html?q=196" TargetMode="External" Id="rId96"/><Relationship Type="http://schemas.openxmlformats.org/officeDocument/2006/relationships/hyperlink" Target="https://srunaic.github.io/Korea_History_Exel_CBT_System/toeic_cbt.html?q=197" TargetMode="External" Id="rId97"/><Relationship Type="http://schemas.openxmlformats.org/officeDocument/2006/relationships/hyperlink" Target="https://srunaic.github.io/Korea_History_Exel_CBT_System/toeic_cbt.html?q=198" TargetMode="External" Id="rId98"/><Relationship Type="http://schemas.openxmlformats.org/officeDocument/2006/relationships/hyperlink" Target="https://srunaic.github.io/Korea_History_Exel_CBT_System/toeic_cbt.html?q=199" TargetMode="External" Id="rId99"/><Relationship Type="http://schemas.openxmlformats.org/officeDocument/2006/relationships/hyperlink" Target="https://srunaic.github.io/Korea_History_Exel_CBT_System/toeic_cbt.html?q=200" TargetMode="External" Id="rId100"/></Relationships>
</file>

<file path=xl/worksheets/sheet1.xml><?xml version="1.0" encoding="utf-8"?>
<worksheet xmlns="http://schemas.openxmlformats.org/spreadsheetml/2006/main">
  <sheetPr>
    <outlinePr summaryBelow="1" summaryRight="1"/>
    <pageSetUpPr/>
  </sheetPr>
  <dimension ref="A1:K101"/>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25" customWidth="1" min="3" max="3"/>
    <col width="42" customWidth="1" min="4" max="4"/>
    <col width="38" customWidth="1" min="5" max="5"/>
    <col width="25" customWidth="1" min="6" max="6"/>
    <col width="25" customWidth="1" min="7" max="7"/>
    <col width="25" customWidth="1" min="8" max="8"/>
    <col width="25" customWidth="1" min="9" max="9"/>
    <col width="10" customWidth="1" min="10" max="10"/>
    <col width="32" customWidth="1" min="11" max="11"/>
  </cols>
  <sheetData>
    <row r="1" ht="32" customHeight="1">
      <c r="A1" s="1" t="inlineStr">
        <is>
          <t>문항 번호</t>
        </is>
      </c>
      <c r="B1" s="1" t="inlineStr">
        <is>
          <t>파트 구분</t>
        </is>
      </c>
      <c r="C1" s="1" t="inlineStr">
        <is>
          <t>출제 카테고리</t>
        </is>
      </c>
      <c r="D1" s="1" t="inlineStr">
        <is>
          <t>듣기 평가 내용 (Question)</t>
        </is>
      </c>
      <c r="E1" s="1" t="inlineStr">
        <is>
          <t>사진 / 지문 안내</t>
        </is>
      </c>
      <c r="F1" s="1" t="inlineStr">
        <is>
          <t>보기 (A)</t>
        </is>
      </c>
      <c r="G1" s="1" t="inlineStr">
        <is>
          <t>보기 (B)</t>
        </is>
      </c>
      <c r="H1" s="1" t="inlineStr">
        <is>
          <t>보기 (C)</t>
        </is>
      </c>
      <c r="I1" s="1" t="inlineStr">
        <is>
          <t>보기 (D)</t>
        </is>
      </c>
      <c r="J1" s="1" t="inlineStr">
        <is>
          <t>정답</t>
        </is>
      </c>
      <c r="K1" s="1" t="inlineStr">
        <is>
          <t>실전 CBT 듣기 &amp; 풀기 (링크)</t>
        </is>
      </c>
    </row>
    <row r="2" ht="52" customHeight="1">
      <c r="A2" s="17" t="inlineStr">
        <is>
          <t>Q1</t>
        </is>
      </c>
      <c r="B2" s="17" t="inlineStr">
        <is>
          <t>Part 1</t>
        </is>
      </c>
      <c r="C2" s="18" t="inlineStr">
        <is>
          <t>Photographs (사무실 1인 동작)</t>
        </is>
      </c>
      <c r="D2" s="18" t="inlineStr">
        <is>
          <t>Look at the picture marked Number 1 in your test book and choose the best statement.</t>
        </is>
      </c>
      <c r="E2" s="18" t="inlineStr">
        <is>
          <t>[실전 사진 수록: images/q1.jpg]</t>
        </is>
      </c>
      <c r="F2" s="18" t="inlineStr">
        <is>
          <t>She is writing on a whiteboard.</t>
        </is>
      </c>
      <c r="G2" s="18" t="inlineStr">
        <is>
          <t>She is working on a laptop computer.</t>
        </is>
      </c>
      <c r="H2" s="18" t="inlineStr">
        <is>
          <t>She is answering a telephone call.</t>
        </is>
      </c>
      <c r="I2" s="18" t="inlineStr">
        <is>
          <t>She is filing documents into a cabinet.</t>
        </is>
      </c>
      <c r="J2" s="17" t="inlineStr">
        <is>
          <t>B</t>
        </is>
      </c>
      <c r="K2" s="19" t="inlineStr">
        <is>
          <t>📱 Q1번 풀기</t>
        </is>
      </c>
    </row>
    <row r="3" ht="52" customHeight="1">
      <c r="A3" s="20" t="inlineStr">
        <is>
          <t>Q2</t>
        </is>
      </c>
      <c r="B3" s="20" t="inlineStr">
        <is>
          <t>Part 1</t>
        </is>
      </c>
      <c r="C3" s="21" t="inlineStr">
        <is>
          <t>Photographs (야외/공사 현장)</t>
        </is>
      </c>
      <c r="D3" s="21" t="inlineStr">
        <is>
          <t>Look at the picture marked Number 2 in your test book and choose the best statement.</t>
        </is>
      </c>
      <c r="E3" s="21" t="inlineStr">
        <is>
          <t>[실전 사진 수록: images/q2.jpg]</t>
        </is>
      </c>
      <c r="F3" s="21" t="inlineStr">
        <is>
          <t>He is walking across a footbridge.</t>
        </is>
      </c>
      <c r="G3" s="21" t="inlineStr">
        <is>
          <t>He is inspecting some architectural plans.</t>
        </is>
      </c>
      <c r="H3" s="21" t="inlineStr">
        <is>
          <t>He is operating heavy machinery.</t>
        </is>
      </c>
      <c r="I3" s="21" t="inlineStr">
        <is>
          <t>He is painting an exterior wall.</t>
        </is>
      </c>
      <c r="J3" s="20" t="inlineStr">
        <is>
          <t>B</t>
        </is>
      </c>
      <c r="K3" s="22" t="inlineStr">
        <is>
          <t>📱 Q2번 풀기</t>
        </is>
      </c>
    </row>
    <row r="4" ht="52" customHeight="1">
      <c r="A4" s="17" t="inlineStr">
        <is>
          <t>Q3</t>
        </is>
      </c>
      <c r="B4" s="17" t="inlineStr">
        <is>
          <t>Part 1</t>
        </is>
      </c>
      <c r="C4" s="18" t="inlineStr">
        <is>
          <t>Photographs (사물 상태/정물)</t>
        </is>
      </c>
      <c r="D4" s="18" t="inlineStr">
        <is>
          <t>Look at the picture marked Number 3 in your test book and choose the best statement.</t>
        </is>
      </c>
      <c r="E4" s="18" t="inlineStr">
        <is>
          <t>[실전 사진 수록: images/q3.jpg]</t>
        </is>
      </c>
      <c r="F4" s="18" t="inlineStr">
        <is>
          <t>Chairs are arranged around a conference table.</t>
        </is>
      </c>
      <c r="G4" s="18" t="inlineStr">
        <is>
          <t>Some boxes are being unloaded from a truck.</t>
        </is>
      </c>
      <c r="H4" s="18" t="inlineStr">
        <is>
          <t>A presenter is speaking to an audience.</t>
        </is>
      </c>
      <c r="I4" s="18" t="inlineStr">
        <is>
          <t>The blinds have been pulled down over the windows.</t>
        </is>
      </c>
      <c r="J4" s="17" t="inlineStr">
        <is>
          <t>A</t>
        </is>
      </c>
      <c r="K4" s="19" t="inlineStr">
        <is>
          <t>📱 Q3번 풀기</t>
        </is>
      </c>
    </row>
    <row r="5" ht="52" customHeight="1">
      <c r="A5" s="20" t="inlineStr">
        <is>
          <t>Q4</t>
        </is>
      </c>
      <c r="B5" s="20" t="inlineStr">
        <is>
          <t>Part 1</t>
        </is>
      </c>
      <c r="C5" s="21" t="inlineStr">
        <is>
          <t>Photographs (상점/상품 진열)</t>
        </is>
      </c>
      <c r="D5" s="21" t="inlineStr">
        <is>
          <t>Look at the picture marked Number 4 in your test book and choose the best statement.</t>
        </is>
      </c>
      <c r="E5" s="21" t="inlineStr">
        <is>
          <t>[실전 사진 수록: images/q4.jpg]</t>
        </is>
      </c>
      <c r="F5" s="21" t="inlineStr">
        <is>
          <t>Merchandise is displayed on store shelves.</t>
        </is>
      </c>
      <c r="G5" s="21" t="inlineStr">
        <is>
          <t>A customer is paying for some groceries at a register.</t>
        </is>
      </c>
      <c r="H5" s="21" t="inlineStr">
        <is>
          <t>A clerk is restocking empty cartons.</t>
        </is>
      </c>
      <c r="I5" s="21" t="inlineStr">
        <is>
          <t>Banners are being hung from the ceiling.</t>
        </is>
      </c>
      <c r="J5" s="20" t="inlineStr">
        <is>
          <t>A</t>
        </is>
      </c>
      <c r="K5" s="22" t="inlineStr">
        <is>
          <t>📱 Q4번 풀기</t>
        </is>
      </c>
    </row>
    <row r="6" ht="52" customHeight="1">
      <c r="A6" s="17" t="inlineStr">
        <is>
          <t>Q5</t>
        </is>
      </c>
      <c r="B6" s="17" t="inlineStr">
        <is>
          <t>Part 1</t>
        </is>
      </c>
      <c r="C6" s="18" t="inlineStr">
        <is>
          <t>Photographs (야외 식당/카페 환경)</t>
        </is>
      </c>
      <c r="D6" s="18" t="inlineStr">
        <is>
          <t>Look at the picture marked Number 5 in your test book and choose the best statement.</t>
        </is>
      </c>
      <c r="E6" s="18" t="inlineStr">
        <is>
          <t>[귀로만 듣고 푸는 실전 리스닝 문항]</t>
        </is>
      </c>
      <c r="F6" s="18" t="inlineStr">
        <is>
          <t>Umbrellas shade outdoor dining tables.</t>
        </is>
      </c>
      <c r="G6" s="18" t="inlineStr">
        <is>
          <t>Waitstaff are setting cutlery on tables.</t>
        </is>
      </c>
      <c r="H6" s="18" t="inlineStr">
        <is>
          <t>Patios are being swept by a maintenance worker.</t>
        </is>
      </c>
      <c r="I6" s="18" t="inlineStr">
        <is>
          <t>Food trays are stacked near an entrance.</t>
        </is>
      </c>
      <c r="J6" s="17" t="inlineStr">
        <is>
          <t>A</t>
        </is>
      </c>
      <c r="K6" s="19" t="inlineStr">
        <is>
          <t>📱 Q5번 풀기</t>
        </is>
      </c>
    </row>
    <row r="7" ht="52" customHeight="1">
      <c r="A7" s="20" t="inlineStr">
        <is>
          <t>Q6</t>
        </is>
      </c>
      <c r="B7" s="20" t="inlineStr">
        <is>
          <t>Part 1</t>
        </is>
      </c>
      <c r="C7" s="21" t="inlineStr">
        <is>
          <t>Photographs (발표/강연장 동작)</t>
        </is>
      </c>
      <c r="D7" s="21" t="inlineStr">
        <is>
          <t>Look at the picture marked Number 6 in your test book and choose the best statement.</t>
        </is>
      </c>
      <c r="E7" s="21" t="inlineStr">
        <is>
          <t>[귀로만 듣고 푸는 실전 리스닝 문항]</t>
        </is>
      </c>
      <c r="F7" s="21" t="inlineStr">
        <is>
          <t>A lecturer is addressing an audience from a podium.</t>
        </is>
      </c>
      <c r="G7" s="21" t="inlineStr">
        <is>
          <t>Handouts are being passed around the room.</t>
        </is>
      </c>
      <c r="H7" s="21" t="inlineStr">
        <is>
          <t>Attendees are exiting the auditorium.</t>
        </is>
      </c>
      <c r="I7" s="21" t="inlineStr">
        <is>
          <t>A projector screen is being lowered from the ceiling.</t>
        </is>
      </c>
      <c r="J7" s="20" t="inlineStr">
        <is>
          <t>A</t>
        </is>
      </c>
      <c r="K7" s="22" t="inlineStr">
        <is>
          <t>📱 Q6번 풀기</t>
        </is>
      </c>
    </row>
    <row r="8" ht="52" customHeight="1">
      <c r="A8" s="17" t="inlineStr">
        <is>
          <t>Q7</t>
        </is>
      </c>
      <c r="B8" s="17" t="inlineStr">
        <is>
          <t>Part 2</t>
        </is>
      </c>
      <c r="C8" s="18" t="inlineStr">
        <is>
          <t>Question-Response (의문사 When)</t>
        </is>
      </c>
      <c r="D8" s="18" t="inlineStr">
        <is>
          <t>Mark your answer on your answer sheet: [Audio Only]</t>
        </is>
      </c>
      <c r="E8" s="18" t="inlineStr">
        <is>
          <t>[귀로만 듣고 푸는 실전 리스닝 문항]</t>
        </is>
      </c>
      <c r="F8" s="18" t="inlineStr">
        <is>
          <t>(A) Yes, Mr. Harris already approved it.</t>
        </is>
      </c>
      <c r="G8" s="18" t="inlineStr">
        <is>
          <t>(B) By Friday afternoon at five o'clock.</t>
        </is>
      </c>
      <c r="H8" s="18" t="inlineStr">
        <is>
          <t>(C) In the main conference hall on the second floor.</t>
        </is>
      </c>
      <c r="I8" s="18" t="inlineStr">
        <is>
          <t>N/A</t>
        </is>
      </c>
      <c r="J8" s="17" t="inlineStr">
        <is>
          <t>B</t>
        </is>
      </c>
      <c r="K8" s="19" t="inlineStr">
        <is>
          <t>📱 Q7번 풀기</t>
        </is>
      </c>
    </row>
    <row r="9" ht="52" customHeight="1">
      <c r="A9" s="20" t="inlineStr">
        <is>
          <t>Q8</t>
        </is>
      </c>
      <c r="B9" s="20" t="inlineStr">
        <is>
          <t>Part 2</t>
        </is>
      </c>
      <c r="C9" s="21" t="inlineStr">
        <is>
          <t>Question-Response (의문사 Where)</t>
        </is>
      </c>
      <c r="D9" s="21" t="inlineStr">
        <is>
          <t>Mark your answer on your answer sheet: [Audio Only]</t>
        </is>
      </c>
      <c r="E9" s="21" t="inlineStr">
        <is>
          <t>[귀로만 듣고 푸는 실전 리스닝 문항]</t>
        </is>
      </c>
      <c r="F9" s="21" t="inlineStr">
        <is>
          <t>(A) In the storage cabinet next to the breakroom.</t>
        </is>
      </c>
      <c r="G9" s="21" t="inlineStr">
        <is>
          <t>(B) About twenty copies should be enough.</t>
        </is>
      </c>
      <c r="H9" s="21" t="inlineStr">
        <is>
          <t>(C) No, the printer is working fine.</t>
        </is>
      </c>
      <c r="I9" s="21" t="inlineStr">
        <is>
          <t>N/A</t>
        </is>
      </c>
      <c r="J9" s="20" t="inlineStr">
        <is>
          <t>A</t>
        </is>
      </c>
      <c r="K9" s="22" t="inlineStr">
        <is>
          <t>📱 Q8번 풀기</t>
        </is>
      </c>
    </row>
    <row r="10" ht="52" customHeight="1">
      <c r="A10" s="17" t="inlineStr">
        <is>
          <t>Q9</t>
        </is>
      </c>
      <c r="B10" s="17" t="inlineStr">
        <is>
          <t>Part 2</t>
        </is>
      </c>
      <c r="C10" s="18" t="inlineStr">
        <is>
          <t>Question-Response (의문사 Why/이유)</t>
        </is>
      </c>
      <c r="D10" s="18" t="inlineStr">
        <is>
          <t>Mark your answer on your answer sheet: [Audio Only]</t>
        </is>
      </c>
      <c r="E10" s="18" t="inlineStr">
        <is>
          <t>[귀로만 듣고 푸는 실전 리스닝 문항]</t>
        </is>
      </c>
      <c r="F10" s="18" t="inlineStr">
        <is>
          <t>(A) Yes, it was very informative.</t>
        </is>
      </c>
      <c r="G10" s="18" t="inlineStr">
        <is>
          <t>(B) Because the guest speaker's flight was delayed.</t>
        </is>
      </c>
      <c r="H10" s="18" t="inlineStr">
        <is>
          <t>(C) On the third floor auditorium.</t>
        </is>
      </c>
      <c r="I10" s="18" t="inlineStr">
        <is>
          <t>N/A</t>
        </is>
      </c>
      <c r="J10" s="17" t="inlineStr">
        <is>
          <t>B</t>
        </is>
      </c>
      <c r="K10" s="19" t="inlineStr">
        <is>
          <t>📱 Q9번 풀기</t>
        </is>
      </c>
    </row>
    <row r="11" ht="52" customHeight="1">
      <c r="A11" s="20" t="inlineStr">
        <is>
          <t>Q10</t>
        </is>
      </c>
      <c r="B11" s="20" t="inlineStr">
        <is>
          <t>Part 2</t>
        </is>
      </c>
      <c r="C11" s="21" t="inlineStr">
        <is>
          <t>Question-Response (우회적/회피형 고난도 킬러)</t>
        </is>
      </c>
      <c r="D11" s="21" t="inlineStr">
        <is>
          <t>Mark your answer on your answer sheet: [Audio Only]</t>
        </is>
      </c>
      <c r="E11" s="21" t="inlineStr">
        <is>
          <t>[귀로만 듣고 푸는 실전 리스닝 문항]</t>
        </is>
      </c>
      <c r="F11" s="21" t="inlineStr">
        <is>
          <t>(A) Ms. Patel is handling all client communications.</t>
        </is>
      </c>
      <c r="G11" s="21" t="inlineStr">
        <is>
          <t>(B) Yes, at the downtown law office.</t>
        </is>
      </c>
      <c r="H11" s="21" t="inlineStr">
        <is>
          <t>(C) Forty-five dollars per hour.</t>
        </is>
      </c>
      <c r="I11" s="21" t="inlineStr">
        <is>
          <t>N/A</t>
        </is>
      </c>
      <c r="J11" s="20" t="inlineStr">
        <is>
          <t>A</t>
        </is>
      </c>
      <c r="K11" s="22" t="inlineStr">
        <is>
          <t>📱 Q10번 풀기</t>
        </is>
      </c>
    </row>
    <row r="12" ht="52" customHeight="1">
      <c r="A12" s="17" t="inlineStr">
        <is>
          <t>Q11</t>
        </is>
      </c>
      <c r="B12" s="17" t="inlineStr">
        <is>
          <t>Part 2</t>
        </is>
      </c>
      <c r="C12" s="18" t="inlineStr">
        <is>
          <t>Question-Response (의문사 Who)</t>
        </is>
      </c>
      <c r="D12" s="18" t="inlineStr">
        <is>
          <t>Mark your answer on your answer sheet: [Audio Only]</t>
        </is>
      </c>
      <c r="E12" s="18" t="inlineStr">
        <is>
          <t>[귀로만 듣고 푸는 실전 리스닝 문항]</t>
        </is>
      </c>
      <c r="F12" s="18" t="inlineStr">
        <is>
          <t>(A) In conference room B.</t>
        </is>
      </c>
      <c r="G12" s="18" t="inlineStr">
        <is>
          <t>(B) Mr. Davis from human resources.</t>
        </is>
      </c>
      <c r="H12" s="18" t="inlineStr">
        <is>
          <t>(C) At ten o'clock tomorrow morning.</t>
        </is>
      </c>
      <c r="I12" s="18" t="inlineStr">
        <is>
          <t>N/A</t>
        </is>
      </c>
      <c r="J12" s="17" t="inlineStr">
        <is>
          <t>B</t>
        </is>
      </c>
      <c r="K12" s="19" t="inlineStr">
        <is>
          <t>📱 Q11번 풀기</t>
        </is>
      </c>
    </row>
    <row r="13" ht="52" customHeight="1">
      <c r="A13" s="20" t="inlineStr">
        <is>
          <t>Q12</t>
        </is>
      </c>
      <c r="B13" s="20" t="inlineStr">
        <is>
          <t>Part 2</t>
        </is>
      </c>
      <c r="C13" s="21" t="inlineStr">
        <is>
          <t>Question-Response (의문사 How/방법)</t>
        </is>
      </c>
      <c r="D13" s="21" t="inlineStr">
        <is>
          <t>Mark your answer on your answer sheet: [Audio Only]</t>
        </is>
      </c>
      <c r="E13" s="21" t="inlineStr">
        <is>
          <t>[귀로만 듣고 푸는 실전 리스닝 문항]</t>
        </is>
      </c>
      <c r="F13" s="21" t="inlineStr">
        <is>
          <t>(A) Through the employee web portal.</t>
        </is>
      </c>
      <c r="G13" s="21" t="inlineStr">
        <is>
          <t>(B) Yes, I parked on the second level.</t>
        </is>
      </c>
      <c r="H13" s="21" t="inlineStr">
        <is>
          <t>(C) It costs twenty-five dollars.</t>
        </is>
      </c>
      <c r="I13" s="21" t="inlineStr">
        <is>
          <t>N/A</t>
        </is>
      </c>
      <c r="J13" s="20" t="inlineStr">
        <is>
          <t>A</t>
        </is>
      </c>
      <c r="K13" s="22" t="inlineStr">
        <is>
          <t>📱 Q12번 풀기</t>
        </is>
      </c>
    </row>
    <row r="14">
      <c r="A14" s="17" t="inlineStr">
        <is>
          <t>Q13</t>
        </is>
      </c>
      <c r="B14" s="17" t="inlineStr">
        <is>
          <t>Part 2</t>
        </is>
      </c>
      <c r="C14" s="18" t="inlineStr">
        <is>
          <t>Question-Response (의문사 What)</t>
        </is>
      </c>
      <c r="D14" s="18" t="inlineStr">
        <is>
          <t>Mark your answer on your answer sheet: [Audio Only]</t>
        </is>
      </c>
      <c r="E14" s="18" t="inlineStr">
        <is>
          <t>[귀로만 듣고 푸는 실전 리스닝 문항]</t>
        </is>
      </c>
      <c r="F14" s="18" t="inlineStr">
        <is>
          <t>(A) Around eleven forty-five.</t>
        </is>
      </c>
      <c r="G14" s="18" t="inlineStr">
        <is>
          <t>(B) Vegetarian sandwiches and wraps.</t>
        </is>
      </c>
      <c r="H14" s="18" t="inlineStr">
        <is>
          <t>(C) For twenty-five guests.</t>
        </is>
      </c>
      <c r="I14" s="18" t="inlineStr">
        <is>
          <t>N/A</t>
        </is>
      </c>
      <c r="J14" s="17" t="inlineStr">
        <is>
          <t>A</t>
        </is>
      </c>
      <c r="K14" s="19" t="inlineStr">
        <is>
          <t>📱 Q13번 풀기</t>
        </is>
      </c>
    </row>
    <row r="15">
      <c r="A15" s="20" t="inlineStr">
        <is>
          <t>Q14</t>
        </is>
      </c>
      <c r="B15" s="20" t="inlineStr">
        <is>
          <t>Part 2</t>
        </is>
      </c>
      <c r="C15" s="21" t="inlineStr">
        <is>
          <t>Question-Response (조동사 일반의문문)</t>
        </is>
      </c>
      <c r="D15" s="21" t="inlineStr">
        <is>
          <t>Mark your answer on your answer sheet: [Audio Only]</t>
        </is>
      </c>
      <c r="E15" s="21" t="inlineStr">
        <is>
          <t>[귀로만 듣고 푸는 실전 리스닝 문항]</t>
        </is>
      </c>
      <c r="F15" s="21" t="inlineStr">
        <is>
          <t>(A) I haven't checked my inbox yet this morning.</t>
        </is>
      </c>
      <c r="G15" s="21" t="inlineStr">
        <is>
          <t>(B) A round-trip flight to Seattle.</t>
        </is>
      </c>
      <c r="H15" s="21" t="inlineStr">
        <is>
          <t>(C) Yes, the hotel was fully booked.</t>
        </is>
      </c>
      <c r="I15" s="21" t="inlineStr">
        <is>
          <t>N/A</t>
        </is>
      </c>
      <c r="J15" s="20" t="inlineStr">
        <is>
          <t>A</t>
        </is>
      </c>
      <c r="K15" s="22" t="inlineStr">
        <is>
          <t>📱 Q14번 풀기</t>
        </is>
      </c>
    </row>
    <row r="16">
      <c r="A16" s="17" t="inlineStr">
        <is>
          <t>Q15</t>
        </is>
      </c>
      <c r="B16" s="17" t="inlineStr">
        <is>
          <t>Part 2</t>
        </is>
      </c>
      <c r="C16" s="18" t="inlineStr">
        <is>
          <t>Question-Response (제안/권유 Why don't we)</t>
        </is>
      </c>
      <c r="D16" s="18" t="inlineStr">
        <is>
          <t>Mark your answer on your answer sheet: [Audio Only]</t>
        </is>
      </c>
      <c r="E16" s="18" t="inlineStr">
        <is>
          <t>[귀로만 듣고 푸는 실전 리스닝 문항]</t>
        </is>
      </c>
      <c r="F16" s="18" t="inlineStr">
        <is>
          <t>(A) Sounds like a great idea.</t>
        </is>
      </c>
      <c r="G16" s="18" t="inlineStr">
        <is>
          <t>(B) Because the projector was unplugged.</t>
        </is>
      </c>
      <c r="H16" s="18" t="inlineStr">
        <is>
          <t>(C) In the second quarter of the year.</t>
        </is>
      </c>
      <c r="I16" s="18" t="inlineStr">
        <is>
          <t>N/A</t>
        </is>
      </c>
      <c r="J16" s="17" t="inlineStr">
        <is>
          <t>A</t>
        </is>
      </c>
      <c r="K16" s="19" t="inlineStr">
        <is>
          <t>📱 Q15번 풀기</t>
        </is>
      </c>
    </row>
    <row r="17">
      <c r="A17" s="20" t="inlineStr">
        <is>
          <t>Q16</t>
        </is>
      </c>
      <c r="B17" s="20" t="inlineStr">
        <is>
          <t>Part 2</t>
        </is>
      </c>
      <c r="C17" s="21" t="inlineStr">
        <is>
          <t>Question-Response (요청 Could you)</t>
        </is>
      </c>
      <c r="D17" s="21" t="inlineStr">
        <is>
          <t>Mark your answer on your answer sheet: [Audio Only]</t>
        </is>
      </c>
      <c r="E17" s="21" t="inlineStr">
        <is>
          <t>[귀로만 듣고 푸는 실전 리스닝 문항]</t>
        </is>
      </c>
      <c r="F17" s="21" t="inlineStr">
        <is>
          <t>(A) I'd be happy to assist you after lunch.</t>
        </is>
      </c>
      <c r="G17" s="21" t="inlineStr">
        <is>
          <t>(B) Yes, the speed limit is 40 miles per hour.</t>
        </is>
      </c>
      <c r="H17" s="21" t="inlineStr">
        <is>
          <t>(C) About fifty plastic sheets.</t>
        </is>
      </c>
      <c r="I17" s="21" t="inlineStr">
        <is>
          <t>N/A</t>
        </is>
      </c>
      <c r="J17" s="20" t="inlineStr">
        <is>
          <t>A</t>
        </is>
      </c>
      <c r="K17" s="22" t="inlineStr">
        <is>
          <t>📱 Q16번 풀기</t>
        </is>
      </c>
    </row>
    <row r="18">
      <c r="A18" s="17" t="inlineStr">
        <is>
          <t>Q17</t>
        </is>
      </c>
      <c r="B18" s="17" t="inlineStr">
        <is>
          <t>Part 2</t>
        </is>
      </c>
      <c r="C18" s="18" t="inlineStr">
        <is>
          <t>Question-Response (선택의문문 Or)</t>
        </is>
      </c>
      <c r="D18" s="18" t="inlineStr">
        <is>
          <t>Mark your answer on your answer sheet: [Audio Only]</t>
        </is>
      </c>
      <c r="E18" s="18" t="inlineStr">
        <is>
          <t>[귀로만 듣고 푸는 실전 리스닝 문항]</t>
        </is>
      </c>
      <c r="F18" s="18" t="inlineStr">
        <is>
          <t>(A) The subway will probably be faster during rush hour.</t>
        </is>
      </c>
      <c r="G18" s="18" t="inlineStr">
        <is>
          <t>(B) Yes, I enjoy taking taxis.</t>
        </is>
      </c>
      <c r="H18" s="18" t="inlineStr">
        <is>
          <t>(C) It starts at nine in the morning.</t>
        </is>
      </c>
      <c r="I18" s="18" t="inlineStr">
        <is>
          <t>N/A</t>
        </is>
      </c>
      <c r="J18" s="17" t="inlineStr">
        <is>
          <t>A</t>
        </is>
      </c>
      <c r="K18" s="19" t="inlineStr">
        <is>
          <t>📱 Q17번 풀기</t>
        </is>
      </c>
    </row>
    <row r="19">
      <c r="A19" s="20" t="inlineStr">
        <is>
          <t>Q18</t>
        </is>
      </c>
      <c r="B19" s="20" t="inlineStr">
        <is>
          <t>Part 2</t>
        </is>
      </c>
      <c r="C19" s="21" t="inlineStr">
        <is>
          <t>Question-Response (부가의문문)</t>
        </is>
      </c>
      <c r="D19" s="21" t="inlineStr">
        <is>
          <t>Mark your answer on your answer sheet: [Audio Only]</t>
        </is>
      </c>
      <c r="E19" s="21" t="inlineStr">
        <is>
          <t>[귀로만 듣고 푸는 실전 리스닝 문항]</t>
        </is>
      </c>
      <c r="F19" s="21" t="inlineStr">
        <is>
          <t>(A) Yes, everything is operating smoothly now.</t>
        </is>
      </c>
      <c r="G19" s="21" t="inlineStr">
        <is>
          <t>(B) On the twelfth floor.</t>
        </is>
      </c>
      <c r="H19" s="21" t="inlineStr">
        <is>
          <t>(C) No, I didn't see the building manager.</t>
        </is>
      </c>
      <c r="I19" s="21" t="inlineStr">
        <is>
          <t>N/A</t>
        </is>
      </c>
      <c r="J19" s="20" t="inlineStr">
        <is>
          <t>A</t>
        </is>
      </c>
      <c r="K19" s="22" t="inlineStr">
        <is>
          <t>📱 Q18번 풀기</t>
        </is>
      </c>
    </row>
    <row r="20">
      <c r="A20" s="17" t="inlineStr">
        <is>
          <t>Q19</t>
        </is>
      </c>
      <c r="B20" s="17" t="inlineStr">
        <is>
          <t>Part 2</t>
        </is>
      </c>
      <c r="C20" s="18" t="inlineStr">
        <is>
          <t>Question-Response (평서문 맞장구)</t>
        </is>
      </c>
      <c r="D20" s="18" t="inlineStr">
        <is>
          <t>Mark your answer on your answer sheet: [Audio Only]</t>
        </is>
      </c>
      <c r="E20" s="18" t="inlineStr">
        <is>
          <t>[귀로만 듣고 푸는 실전 리스닝 문항]</t>
        </is>
      </c>
      <c r="F20" s="18" t="inlineStr">
        <is>
          <t>(A) Then let's find a café near the departure gate.</t>
        </is>
      </c>
      <c r="G20" s="18" t="inlineStr">
        <is>
          <t>(B) Row fourteen, window seat.</t>
        </is>
      </c>
      <c r="H20" s="18" t="inlineStr">
        <is>
          <t>(C) Yes, Frankfurt is the financial center.</t>
        </is>
      </c>
      <c r="I20" s="18" t="inlineStr">
        <is>
          <t>N/A</t>
        </is>
      </c>
      <c r="J20" s="17" t="inlineStr">
        <is>
          <t>A</t>
        </is>
      </c>
      <c r="K20" s="19" t="inlineStr">
        <is>
          <t>📱 Q19번 풀기</t>
        </is>
      </c>
    </row>
    <row r="21">
      <c r="A21" s="20" t="inlineStr">
        <is>
          <t>Q20</t>
        </is>
      </c>
      <c r="B21" s="20" t="inlineStr">
        <is>
          <t>Part 2</t>
        </is>
      </c>
      <c r="C21" s="21" t="inlineStr">
        <is>
          <t>Question-Response (부정의문문)</t>
        </is>
      </c>
      <c r="D21" s="21" t="inlineStr">
        <is>
          <t>Mark your answer on your answer sheet: [Audio Only]</t>
        </is>
      </c>
      <c r="E21" s="21" t="inlineStr">
        <is>
          <t>[귀로만 듣고 푸는 실전 리스닝 문항]</t>
        </is>
      </c>
      <c r="F21" s="21" t="inlineStr">
        <is>
          <t>(A) She said they should arrive by Thursday.</t>
        </is>
      </c>
      <c r="G21" s="21" t="inlineStr">
        <is>
          <t>(B) Yes, the graphic design is impressive.</t>
        </is>
      </c>
      <c r="H21" s="21" t="inlineStr">
        <is>
          <t>(C) In the main computer lab.</t>
        </is>
      </c>
      <c r="I21" s="21" t="inlineStr">
        <is>
          <t>N/A</t>
        </is>
      </c>
      <c r="J21" s="20" t="inlineStr">
        <is>
          <t>A</t>
        </is>
      </c>
      <c r="K21" s="22" t="inlineStr">
        <is>
          <t>📱 Q20번 풀기</t>
        </is>
      </c>
    </row>
    <row r="22">
      <c r="A22" s="17" t="inlineStr">
        <is>
          <t>Q21</t>
        </is>
      </c>
      <c r="B22" s="17" t="inlineStr">
        <is>
          <t>Part 2</t>
        </is>
      </c>
      <c r="C22" s="18" t="inlineStr">
        <is>
          <t>Question-Response (의문사 How long/기간)</t>
        </is>
      </c>
      <c r="D22" s="18" t="inlineStr">
        <is>
          <t>Mark your answer on your answer sheet: [Audio Only]</t>
        </is>
      </c>
      <c r="E22" s="18" t="inlineStr">
        <is>
          <t>[귀로만 듣고 푸는 실전 리스닝 문항]</t>
        </is>
      </c>
      <c r="F22" s="18" t="inlineStr">
        <is>
          <t>(A) For nearly three weeks now.</t>
        </is>
      </c>
      <c r="G22" s="18" t="inlineStr">
        <is>
          <t>(B) Yes, the proposal was approved.</t>
        </is>
      </c>
      <c r="H22" s="18" t="inlineStr">
        <is>
          <t>(C) About fifty pages long.</t>
        </is>
      </c>
      <c r="I22" s="18" t="inlineStr">
        <is>
          <t>N/A</t>
        </is>
      </c>
      <c r="J22" s="17" t="inlineStr">
        <is>
          <t>A</t>
        </is>
      </c>
      <c r="K22" s="19" t="inlineStr">
        <is>
          <t>📱 Q21번 풀기</t>
        </is>
      </c>
    </row>
    <row r="23">
      <c r="A23" s="20" t="inlineStr">
        <is>
          <t>Q22</t>
        </is>
      </c>
      <c r="B23" s="20" t="inlineStr">
        <is>
          <t>Part 2</t>
        </is>
      </c>
      <c r="C23" s="21" t="inlineStr">
        <is>
          <t>Question-Response (의문사 Which/선택)</t>
        </is>
      </c>
      <c r="D23" s="21" t="inlineStr">
        <is>
          <t>Mark your answer on your answer sheet: [Audio Only]</t>
        </is>
      </c>
      <c r="E23" s="21" t="inlineStr">
        <is>
          <t>[귀로만 듣고 푸는 실전 리스닝 문항]</t>
        </is>
      </c>
      <c r="F23" s="21" t="inlineStr">
        <is>
          <t>(A) Apex Construction had the lowest estimate.</t>
        </is>
      </c>
      <c r="G23" s="21" t="inlineStr">
        <is>
          <t>(B) On the top floor of the headquarters.</t>
        </is>
      </c>
      <c r="H23" s="21" t="inlineStr">
        <is>
          <t>(C) Yes, we signed the contract.</t>
        </is>
      </c>
      <c r="I23" s="21" t="inlineStr">
        <is>
          <t>N/A</t>
        </is>
      </c>
      <c r="J23" s="20" t="inlineStr">
        <is>
          <t>A</t>
        </is>
      </c>
      <c r="K23" s="22" t="inlineStr">
        <is>
          <t>📱 Q22번 풀기</t>
        </is>
      </c>
    </row>
    <row r="24">
      <c r="A24" s="17" t="inlineStr">
        <is>
          <t>Q23</t>
        </is>
      </c>
      <c r="B24" s="17" t="inlineStr">
        <is>
          <t>Part 2</t>
        </is>
      </c>
      <c r="C24" s="18" t="inlineStr">
        <is>
          <t>Question-Response (우회적/정보 부재 킬러)</t>
        </is>
      </c>
      <c r="D24" s="18" t="inlineStr">
        <is>
          <t>Mark your answer on your answer sheet: [Audio Only]</t>
        </is>
      </c>
      <c r="E24" s="18" t="inlineStr">
        <is>
          <t>[귀로만 듣고 푸는 실전 리스닝 문항]</t>
        </is>
      </c>
      <c r="F24" s="18" t="inlineStr">
        <is>
          <t>(A) I haven't spoken with him since this morning.</t>
        </is>
      </c>
      <c r="G24" s="18" t="inlineStr">
        <is>
          <t>(B) Yes, the internet connection is very stable.</t>
        </is>
      </c>
      <c r="H24" s="18" t="inlineStr">
        <is>
          <t>(C) The password is eight characters long.</t>
        </is>
      </c>
      <c r="I24" s="18" t="inlineStr">
        <is>
          <t>N/A</t>
        </is>
      </c>
      <c r="J24" s="17" t="inlineStr">
        <is>
          <t>A</t>
        </is>
      </c>
      <c r="K24" s="19" t="inlineStr">
        <is>
          <t>📱 Q23번 풀기</t>
        </is>
      </c>
    </row>
    <row r="25">
      <c r="A25" s="20" t="inlineStr">
        <is>
          <t>Q24</t>
        </is>
      </c>
      <c r="B25" s="20" t="inlineStr">
        <is>
          <t>Part 2</t>
        </is>
      </c>
      <c r="C25" s="21" t="inlineStr">
        <is>
          <t>Question-Response (제안/의뢰 Would you mind)</t>
        </is>
      </c>
      <c r="D25" s="21" t="inlineStr">
        <is>
          <t>Mark your answer on your answer sheet: [Audio Only]</t>
        </is>
      </c>
      <c r="E25" s="21" t="inlineStr">
        <is>
          <t>[귀로만 듣고 푸는 실전 리스닝 문항]</t>
        </is>
      </c>
      <c r="F25" s="21" t="inlineStr">
        <is>
          <t>(A) Not at all, leave it on my desk.</t>
        </is>
      </c>
      <c r="G25" s="21" t="inlineStr">
        <is>
          <t>(B) The printing cost was too high.</t>
        </is>
      </c>
      <c r="H25" s="21" t="inlineStr">
        <is>
          <t>(C) Yes, the local newspaper published it.</t>
        </is>
      </c>
      <c r="I25" s="21" t="inlineStr">
        <is>
          <t>N/A</t>
        </is>
      </c>
      <c r="J25" s="20" t="inlineStr">
        <is>
          <t>A</t>
        </is>
      </c>
      <c r="K25" s="22" t="inlineStr">
        <is>
          <t>📱 Q24번 풀기</t>
        </is>
      </c>
    </row>
    <row r="26">
      <c r="A26" s="17" t="inlineStr">
        <is>
          <t>Q25</t>
        </is>
      </c>
      <c r="B26" s="17" t="inlineStr">
        <is>
          <t>Part 2</t>
        </is>
      </c>
      <c r="C26" s="18" t="inlineStr">
        <is>
          <t>Question-Response (의문사 Where/출처)</t>
        </is>
      </c>
      <c r="D26" s="18" t="inlineStr">
        <is>
          <t>Mark your answer on your answer sheet: [Audio Only]</t>
        </is>
      </c>
      <c r="E26" s="18" t="inlineStr">
        <is>
          <t>[귀로만 듣고 푸는 실전 리스닝 문항]</t>
        </is>
      </c>
      <c r="F26" s="18" t="inlineStr">
        <is>
          <t>(A) It was a retirement gift from my former colleagues.</t>
        </is>
      </c>
      <c r="G26" s="18" t="inlineStr">
        <is>
          <t>(B) Yes, it fits my laptop perfectly.</t>
        </is>
      </c>
      <c r="H26" s="18" t="inlineStr">
        <is>
          <t>(C) In the conference room on the fifth floor.</t>
        </is>
      </c>
      <c r="I26" s="18" t="inlineStr">
        <is>
          <t>N/A</t>
        </is>
      </c>
      <c r="J26" s="17" t="inlineStr">
        <is>
          <t>A</t>
        </is>
      </c>
      <c r="K26" s="19" t="inlineStr">
        <is>
          <t>📱 Q25번 풀기</t>
        </is>
      </c>
    </row>
    <row r="27">
      <c r="A27" s="20" t="inlineStr">
        <is>
          <t>Q26</t>
        </is>
      </c>
      <c r="B27" s="20" t="inlineStr">
        <is>
          <t>Part 2</t>
        </is>
      </c>
      <c r="C27" s="21" t="inlineStr">
        <is>
          <t>Question-Response (선택의문문 Either/Neither)</t>
        </is>
      </c>
      <c r="D27" s="21" t="inlineStr">
        <is>
          <t>Mark your answer on your answer sheet: [Audio Only]</t>
        </is>
      </c>
      <c r="E27" s="21" t="inlineStr">
        <is>
          <t>[귀로만 듣고 푸는 실전 리스닝 문항]</t>
        </is>
      </c>
      <c r="F27" s="21" t="inlineStr">
        <is>
          <t>(A) Let's check the weather forecast before deciding.</t>
        </is>
      </c>
      <c r="G27" s="21" t="inlineStr">
        <is>
          <t>(B) Yes, the banquet starts at seven.</t>
        </is>
      </c>
      <c r="H27" s="21" t="inlineStr">
        <is>
          <t>(C) About one hundred and fifty employees.</t>
        </is>
      </c>
      <c r="I27" s="21" t="inlineStr">
        <is>
          <t>N/A</t>
        </is>
      </c>
      <c r="J27" s="20" t="inlineStr">
        <is>
          <t>A</t>
        </is>
      </c>
      <c r="K27" s="22" t="inlineStr">
        <is>
          <t>📱 Q26번 풀기</t>
        </is>
      </c>
    </row>
    <row r="28">
      <c r="A28" s="17" t="inlineStr">
        <is>
          <t>Q27</t>
        </is>
      </c>
      <c r="B28" s="17" t="inlineStr">
        <is>
          <t>Part 2</t>
        </is>
      </c>
      <c r="C28" s="18" t="inlineStr">
        <is>
          <t>Question-Response (평서문 반문/확인)</t>
        </is>
      </c>
      <c r="D28" s="18" t="inlineStr">
        <is>
          <t>Mark your answer on your answer sheet: [Audio Only]</t>
        </is>
      </c>
      <c r="E28" s="18" t="inlineStr">
        <is>
          <t>[귀로만 듣고 푸는 실전 리스닝 문항]</t>
        </is>
      </c>
      <c r="F28" s="18" t="inlineStr">
        <is>
          <t>(A) That's fantastic news for our sustainability report!</t>
        </is>
      </c>
      <c r="G28" s="18" t="inlineStr">
        <is>
          <t>(B) Place all plastic bottles in the green bin.</t>
        </is>
      </c>
      <c r="H28" s="18" t="inlineStr">
        <is>
          <t>(C) Fifteen dollars per kilogram.</t>
        </is>
      </c>
      <c r="I28" s="18" t="inlineStr">
        <is>
          <t>N/A</t>
        </is>
      </c>
      <c r="J28" s="17" t="inlineStr">
        <is>
          <t>A</t>
        </is>
      </c>
      <c r="K28" s="19" t="inlineStr">
        <is>
          <t>📱 Q27번 풀기</t>
        </is>
      </c>
    </row>
    <row r="29">
      <c r="A29" s="20" t="inlineStr">
        <is>
          <t>Q28</t>
        </is>
      </c>
      <c r="B29" s="20" t="inlineStr">
        <is>
          <t>Part 2</t>
        </is>
      </c>
      <c r="C29" s="21" t="inlineStr">
        <is>
          <t>Question-Response (의문사 Why not)</t>
        </is>
      </c>
      <c r="D29" s="21" t="inlineStr">
        <is>
          <t>Mark your answer on your answer sheet: [Audio Only]</t>
        </is>
      </c>
      <c r="E29" s="21" t="inlineStr">
        <is>
          <t>[귀로만 듣고 푸는 실전 리스닝 문항]</t>
        </is>
      </c>
      <c r="F29" s="21" t="inlineStr">
        <is>
          <t>(A) Payroll was processed a day late due to the holiday.</t>
        </is>
      </c>
      <c r="G29" s="21" t="inlineStr">
        <is>
          <t>(B) Yes, I kept all original receipts.</t>
        </is>
      </c>
      <c r="H29" s="21" t="inlineStr">
        <is>
          <t>(C) In the first-floor banking branch.</t>
        </is>
      </c>
      <c r="I29" s="21" t="inlineStr">
        <is>
          <t>N/A</t>
        </is>
      </c>
      <c r="J29" s="20" t="inlineStr">
        <is>
          <t>A</t>
        </is>
      </c>
      <c r="K29" s="22" t="inlineStr">
        <is>
          <t>📱 Q28번 풀기</t>
        </is>
      </c>
    </row>
    <row r="30">
      <c r="A30" s="17" t="inlineStr">
        <is>
          <t>Q29</t>
        </is>
      </c>
      <c r="B30" s="17" t="inlineStr">
        <is>
          <t>Part 2</t>
        </is>
      </c>
      <c r="C30" s="18" t="inlineStr">
        <is>
          <t>Question-Response (간접의문문/조건)</t>
        </is>
      </c>
      <c r="D30" s="18" t="inlineStr">
        <is>
          <t>Mark your answer on your answer sheet: [Audio Only]</t>
        </is>
      </c>
      <c r="E30" s="18" t="inlineStr">
        <is>
          <t>[귀로만 듣고 푸는 실전 리스닝 문항]</t>
        </is>
      </c>
      <c r="F30" s="18" t="inlineStr">
        <is>
          <t>(A) Only if the review committee grants special permission.</t>
        </is>
      </c>
      <c r="G30" s="18" t="inlineStr">
        <is>
          <t>(B) Yes, the grant was for fifty thousand dollars.</t>
        </is>
      </c>
      <c r="H30" s="18" t="inlineStr">
        <is>
          <t>(C) At the university research center.</t>
        </is>
      </c>
      <c r="I30" s="18" t="inlineStr">
        <is>
          <t>N/A</t>
        </is>
      </c>
      <c r="J30" s="17" t="inlineStr">
        <is>
          <t>A</t>
        </is>
      </c>
      <c r="K30" s="19" t="inlineStr">
        <is>
          <t>📱 Q29번 풀기</t>
        </is>
      </c>
    </row>
    <row r="31">
      <c r="A31" s="20" t="inlineStr">
        <is>
          <t>Q30</t>
        </is>
      </c>
      <c r="B31" s="20" t="inlineStr">
        <is>
          <t>Part 2</t>
        </is>
      </c>
      <c r="C31" s="21" t="inlineStr">
        <is>
          <t>Question-Response (부가의문문 킬러)</t>
        </is>
      </c>
      <c r="D31" s="21" t="inlineStr">
        <is>
          <t>Mark your answer on your answer sheet: [Audio Only]</t>
        </is>
      </c>
      <c r="E31" s="21" t="inlineStr">
        <is>
          <t>[귀로만 듣고 푸는 실전 리스닝 문항]</t>
        </is>
      </c>
      <c r="F31" s="21" t="inlineStr">
        <is>
          <t>(A) Actually, his meeting was moved online.</t>
        </is>
      </c>
      <c r="G31" s="21" t="inlineStr">
        <is>
          <t>(B) Yes, Chicago is very windy in autumn.</t>
        </is>
      </c>
      <c r="H31" s="21" t="inlineStr">
        <is>
          <t>(C) Two round-trip airline tickets.</t>
        </is>
      </c>
      <c r="I31" s="21" t="inlineStr">
        <is>
          <t>N/A</t>
        </is>
      </c>
      <c r="J31" s="20" t="inlineStr">
        <is>
          <t>A</t>
        </is>
      </c>
      <c r="K31" s="22" t="inlineStr">
        <is>
          <t>📱 Q30번 풀기</t>
        </is>
      </c>
    </row>
    <row r="32">
      <c r="A32" s="17" t="inlineStr">
        <is>
          <t>Q31</t>
        </is>
      </c>
      <c r="B32" s="17" t="inlineStr">
        <is>
          <t>Part 2</t>
        </is>
      </c>
      <c r="C32" s="18" t="inlineStr">
        <is>
          <t>Question-Response (평서문 고난도 피날레)</t>
        </is>
      </c>
      <c r="D32" s="18" t="inlineStr">
        <is>
          <t>Mark your answer on your answer sheet: [Audio Only]</t>
        </is>
      </c>
      <c r="E32" s="18" t="inlineStr">
        <is>
          <t>[귀로만 듣고 푸는 실전 리스닝 문항]</t>
        </is>
      </c>
      <c r="F32" s="18" t="inlineStr">
        <is>
          <t>(A) Fortunately, we can access the digital collection online.</t>
        </is>
      </c>
      <c r="G32" s="18" t="inlineStr">
        <is>
          <t>(B) Yes, I returned all the reference books.</t>
        </is>
      </c>
      <c r="H32" s="18" t="inlineStr">
        <is>
          <t>(C) On the basement floor near the elevator.</t>
        </is>
      </c>
      <c r="I32" s="18" t="inlineStr">
        <is>
          <t>N/A</t>
        </is>
      </c>
      <c r="J32" s="17" t="inlineStr">
        <is>
          <t>A</t>
        </is>
      </c>
      <c r="K32" s="19" t="inlineStr">
        <is>
          <t>📱 Q31번 풀기</t>
        </is>
      </c>
    </row>
    <row r="33">
      <c r="A33" s="20" t="inlineStr">
        <is>
          <t>Q32</t>
        </is>
      </c>
      <c r="B33" s="20" t="inlineStr">
        <is>
          <t>Part 3</t>
        </is>
      </c>
      <c r="C33" s="21" t="inlineStr">
        <is>
          <t>Short Conversation (Schedule Change &amp; Meeting Postponement)</t>
        </is>
      </c>
      <c r="D33" s="21" t="inlineStr">
        <is>
          <t>What are the speakers discussing?</t>
        </is>
      </c>
      <c r="E33" s="21" t="inlineStr">
        <is>
          <t>[귀로만 듣고 푸는 실전 리스닝 문항]</t>
        </is>
      </c>
      <c r="F33" s="21" t="inlineStr">
        <is>
          <t>A presentation schedule</t>
        </is>
      </c>
      <c r="G33" s="21" t="inlineStr">
        <is>
          <t>A job interview</t>
        </is>
      </c>
      <c r="H33" s="21" t="inlineStr">
        <is>
          <t>A company budget</t>
        </is>
      </c>
      <c r="I33" s="21" t="inlineStr">
        <is>
          <t>A computer upgrade</t>
        </is>
      </c>
      <c r="J33" s="20" t="inlineStr">
        <is>
          <t>A</t>
        </is>
      </c>
      <c r="K33" s="22" t="inlineStr">
        <is>
          <t>📱 Q32번 풀기</t>
        </is>
      </c>
    </row>
    <row r="34">
      <c r="A34" s="17" t="inlineStr">
        <is>
          <t>Q33</t>
        </is>
      </c>
      <c r="B34" s="17" t="inlineStr">
        <is>
          <t>Part 3</t>
        </is>
      </c>
      <c r="C34" s="18" t="inlineStr">
        <is>
          <t>Short Conversation (Schedule Change &amp; Meeting Postponement)</t>
        </is>
      </c>
      <c r="D34" s="18" t="inlineStr">
        <is>
          <t>Why was the meeting postponed?</t>
        </is>
      </c>
      <c r="E34" s="18" t="inlineStr">
        <is>
          <t>[귀로만 듣고 푸는 실전 리스닝 문항]</t>
        </is>
      </c>
      <c r="F34" s="18" t="inlineStr">
        <is>
          <t>A room was unavailable.</t>
        </is>
      </c>
      <c r="G34" s="18" t="inlineStr">
        <is>
          <t>A speaker was ill.</t>
        </is>
      </c>
      <c r="H34" s="18" t="inlineStr">
        <is>
          <t>A flight was delayed.</t>
        </is>
      </c>
      <c r="I34" s="18" t="inlineStr">
        <is>
          <t>A contract was missing.</t>
        </is>
      </c>
      <c r="J34" s="17" t="inlineStr">
        <is>
          <t>C</t>
        </is>
      </c>
      <c r="K34" s="19" t="inlineStr">
        <is>
          <t>📱 Q33번 풀기</t>
        </is>
      </c>
    </row>
    <row r="35">
      <c r="A35" s="20" t="inlineStr">
        <is>
          <t>Q34</t>
        </is>
      </c>
      <c r="B35" s="20" t="inlineStr">
        <is>
          <t>Part 3</t>
        </is>
      </c>
      <c r="C35" s="21" t="inlineStr">
        <is>
          <t>Short Conversation (Schedule Change &amp; Meeting Postponement)</t>
        </is>
      </c>
      <c r="D35" s="21" t="inlineStr">
        <is>
          <t>What does the woman promise to do?</t>
        </is>
      </c>
      <c r="E35" s="21" t="inlineStr">
        <is>
          <t>[귀로만 듣고 푸는 실전 리스닝 문항]</t>
        </is>
      </c>
      <c r="F35" s="21" t="inlineStr">
        <is>
          <t>Book an airline ticket</t>
        </is>
      </c>
      <c r="G35" s="21" t="inlineStr">
        <is>
          <t>Email an updated invitation</t>
        </is>
      </c>
      <c r="H35" s="21" t="inlineStr">
        <is>
          <t>Print meeting handouts</t>
        </is>
      </c>
      <c r="I35" s="21" t="inlineStr">
        <is>
          <t>Contact the client</t>
        </is>
      </c>
      <c r="J35" s="20" t="inlineStr">
        <is>
          <t>B</t>
        </is>
      </c>
      <c r="K35" s="22" t="inlineStr">
        <is>
          <t>📱 Q34번 풀기</t>
        </is>
      </c>
    </row>
    <row r="36">
      <c r="A36" s="17" t="inlineStr">
        <is>
          <t>Q35</t>
        </is>
      </c>
      <c r="B36" s="17" t="inlineStr">
        <is>
          <t>Part 3</t>
        </is>
      </c>
      <c r="C36" s="18" t="inlineStr">
        <is>
          <t>Short Conversation (Printer Malfunction &amp; Solution)</t>
        </is>
      </c>
      <c r="D36" s="18" t="inlineStr">
        <is>
          <t>What problem does the man mention?</t>
        </is>
      </c>
      <c r="E36" s="18" t="inlineStr">
        <is>
          <t>[귀로만 듣고 푸는 실전 리스닝 문항]</t>
        </is>
      </c>
      <c r="F36" s="18" t="inlineStr">
        <is>
          <t>A file was deleted.</t>
        </is>
      </c>
      <c r="G36" s="18" t="inlineStr">
        <is>
          <t>A printer has a paper jam.</t>
        </is>
      </c>
      <c r="H36" s="18" t="inlineStr">
        <is>
          <t>The network is disconnected.</t>
        </is>
      </c>
      <c r="I36" s="18" t="inlineStr">
        <is>
          <t>He lost the office key.</t>
        </is>
      </c>
      <c r="J36" s="17" t="inlineStr">
        <is>
          <t>B</t>
        </is>
      </c>
      <c r="K36" s="19" t="inlineStr">
        <is>
          <t>📱 Q35번 풀기</t>
        </is>
      </c>
    </row>
    <row r="37">
      <c r="A37" s="20" t="inlineStr">
        <is>
          <t>Q36</t>
        </is>
      </c>
      <c r="B37" s="20" t="inlineStr">
        <is>
          <t>Part 3</t>
        </is>
      </c>
      <c r="C37" s="21" t="inlineStr">
        <is>
          <t>Short Conversation (Printer Malfunction &amp; Solution)</t>
        </is>
      </c>
      <c r="D37" s="21" t="inlineStr">
        <is>
          <t>When is the executive committee meeting?</t>
        </is>
      </c>
      <c r="E37" s="21" t="inlineStr">
        <is>
          <t>[귀로만 듣고 푸는 실전 리스닝 문항]</t>
        </is>
      </c>
      <c r="F37" s="21" t="inlineStr">
        <is>
          <t>In twenty minutes</t>
        </is>
      </c>
      <c r="G37" s="21" t="inlineStr">
        <is>
          <t>At noon</t>
        </is>
      </c>
      <c r="H37" s="21" t="inlineStr">
        <is>
          <t>Tomorrow morning</t>
        </is>
      </c>
      <c r="I37" s="21" t="inlineStr">
        <is>
          <t>Next Monday</t>
        </is>
      </c>
      <c r="J37" s="20" t="inlineStr">
        <is>
          <t>A</t>
        </is>
      </c>
      <c r="K37" s="22" t="inlineStr">
        <is>
          <t>📱 Q36번 풀기</t>
        </is>
      </c>
    </row>
    <row r="38">
      <c r="A38" s="17" t="inlineStr">
        <is>
          <t>Q37</t>
        </is>
      </c>
      <c r="B38" s="17" t="inlineStr">
        <is>
          <t>Part 3</t>
        </is>
      </c>
      <c r="C38" s="18" t="inlineStr">
        <is>
          <t>Short Conversation (Printer Malfunction &amp; Solution)</t>
        </is>
      </c>
      <c r="D38" s="18" t="inlineStr">
        <is>
          <t>What will the man do next?</t>
        </is>
      </c>
      <c r="E38" s="18" t="inlineStr">
        <is>
          <t>[귀로만 듣고 푸는 실전 리스닝 문항]</t>
        </is>
      </c>
      <c r="F38" s="18" t="inlineStr">
        <is>
          <t>Call the technician</t>
        </is>
      </c>
      <c r="G38" s="18" t="inlineStr">
        <is>
          <t>Cancel the meeting</t>
        </is>
      </c>
      <c r="H38" s="18" t="inlineStr">
        <is>
          <t>Print the files in another department</t>
        </is>
      </c>
      <c r="I38" s="18" t="inlineStr">
        <is>
          <t>Order new printer paper</t>
        </is>
      </c>
      <c r="J38" s="17" t="inlineStr">
        <is>
          <t>C</t>
        </is>
      </c>
      <c r="K38" s="19" t="inlineStr">
        <is>
          <t>📱 Q37번 풀기</t>
        </is>
      </c>
    </row>
    <row r="39">
      <c r="A39" s="20" t="inlineStr">
        <is>
          <t>Q38</t>
        </is>
      </c>
      <c r="B39" s="20" t="inlineStr">
        <is>
          <t>Part 3</t>
        </is>
      </c>
      <c r="C39" s="21" t="inlineStr">
        <is>
          <t>Short Conversation (Hotel Reservation Extension)</t>
        </is>
      </c>
      <c r="D39" s="21" t="inlineStr">
        <is>
          <t>Where does the conversation most likely take place?</t>
        </is>
      </c>
      <c r="E39" s="21" t="inlineStr">
        <is>
          <t>[귀로만 듣고 푸는 실전 리스닝 문항]</t>
        </is>
      </c>
      <c r="F39" s="21" t="inlineStr">
        <is>
          <t>At a travel agency</t>
        </is>
      </c>
      <c r="G39" s="21" t="inlineStr">
        <is>
          <t>At a hotel front desk</t>
        </is>
      </c>
      <c r="H39" s="21" t="inlineStr">
        <is>
          <t>At an airport gate</t>
        </is>
      </c>
      <c r="I39" s="21" t="inlineStr">
        <is>
          <t>At a conference center</t>
        </is>
      </c>
      <c r="J39" s="20" t="inlineStr">
        <is>
          <t>B</t>
        </is>
      </c>
      <c r="K39" s="22" t="inlineStr">
        <is>
          <t>📱 Q38번 풀기</t>
        </is>
      </c>
    </row>
    <row r="40">
      <c r="A40" s="17" t="inlineStr">
        <is>
          <t>Q39</t>
        </is>
      </c>
      <c r="B40" s="17" t="inlineStr">
        <is>
          <t>Part 3</t>
        </is>
      </c>
      <c r="C40" s="18" t="inlineStr">
        <is>
          <t>Short Conversation (Hotel Reservation Extension)</t>
        </is>
      </c>
      <c r="D40" s="18" t="inlineStr">
        <is>
          <t>What does the woman want to do?</t>
        </is>
      </c>
      <c r="E40" s="18" t="inlineStr">
        <is>
          <t>[귀로만 듣고 푸는 실전 리스닝 문항]</t>
        </is>
      </c>
      <c r="F40" s="18" t="inlineStr">
        <is>
          <t>Cancel her flight</t>
        </is>
      </c>
      <c r="G40" s="18" t="inlineStr">
        <is>
          <t>Upgrade to first class</t>
        </is>
      </c>
      <c r="H40" s="18" t="inlineStr">
        <is>
          <t>Extend her hotel stay</t>
        </is>
      </c>
      <c r="I40" s="18" t="inlineStr">
        <is>
          <t>Request a room refund</t>
        </is>
      </c>
      <c r="J40" s="17" t="inlineStr">
        <is>
          <t>C</t>
        </is>
      </c>
      <c r="K40" s="19" t="inlineStr">
        <is>
          <t>📱 Q39번 풀기</t>
        </is>
      </c>
    </row>
    <row r="41">
      <c r="A41" s="20" t="inlineStr">
        <is>
          <t>Q40</t>
        </is>
      </c>
      <c r="B41" s="20" t="inlineStr">
        <is>
          <t>Part 3</t>
        </is>
      </c>
      <c r="C41" s="21" t="inlineStr">
        <is>
          <t>Short Conversation (Hotel Reservation Extension)</t>
        </is>
      </c>
      <c r="D41" s="21" t="inlineStr">
        <is>
          <t>What additional information does the woman ask about?</t>
        </is>
      </c>
      <c r="E41" s="21" t="inlineStr">
        <is>
          <t>[귀로만 듣고 푸는 실전 리스닝 문항]</t>
        </is>
      </c>
      <c r="F41" s="21" t="inlineStr">
        <is>
          <t>Shuttle bus times</t>
        </is>
      </c>
      <c r="G41" s="21" t="inlineStr">
        <is>
          <t>Complimentary breakfast</t>
        </is>
      </c>
      <c r="H41" s="21" t="inlineStr">
        <is>
          <t>Gym opening hours</t>
        </is>
      </c>
      <c r="I41" s="21" t="inlineStr">
        <is>
          <t>Parking validation</t>
        </is>
      </c>
      <c r="J41" s="20" t="inlineStr">
        <is>
          <t>B</t>
        </is>
      </c>
      <c r="K41" s="22" t="inlineStr">
        <is>
          <t>📱 Q40번 풀기</t>
        </is>
      </c>
    </row>
    <row r="42">
      <c r="A42" s="17" t="inlineStr">
        <is>
          <t>Q41</t>
        </is>
      </c>
      <c r="B42" s="17" t="inlineStr">
        <is>
          <t>Part 3</t>
        </is>
      </c>
      <c r="C42" s="18" t="inlineStr">
        <is>
          <t>Short Conversation (Marketing Campaign Analysis)</t>
        </is>
      </c>
      <c r="D42" s="18" t="inlineStr">
        <is>
          <t>What are the speakers reviewing?</t>
        </is>
      </c>
      <c r="E42" s="18" t="inlineStr">
        <is>
          <t>[귀로만 듣고 푸는 실전 리스닝 문항]</t>
        </is>
      </c>
      <c r="F42" s="18" t="inlineStr">
        <is>
          <t>A social media campaign report</t>
        </is>
      </c>
      <c r="G42" s="18" t="inlineStr">
        <is>
          <t>An annual tax statement</t>
        </is>
      </c>
      <c r="H42" s="18" t="inlineStr">
        <is>
          <t>A staff evaluation</t>
        </is>
      </c>
      <c r="I42" s="18" t="inlineStr">
        <is>
          <t>A software development guide</t>
        </is>
      </c>
      <c r="J42" s="17" t="inlineStr">
        <is>
          <t>A</t>
        </is>
      </c>
      <c r="K42" s="19" t="inlineStr">
        <is>
          <t>📱 Q41번 풀기</t>
        </is>
      </c>
    </row>
    <row r="43">
      <c r="A43" s="20" t="inlineStr">
        <is>
          <t>Q42</t>
        </is>
      </c>
      <c r="B43" s="20" t="inlineStr">
        <is>
          <t>Part 3</t>
        </is>
      </c>
      <c r="C43" s="21" t="inlineStr">
        <is>
          <t>Short Conversation (Marketing Campaign Analysis)</t>
        </is>
      </c>
      <c r="D43" s="21" t="inlineStr">
        <is>
          <t>What is an area of concern for the woman?</t>
        </is>
      </c>
      <c r="E43" s="21" t="inlineStr">
        <is>
          <t>[귀로만 듣고 푸는 실전 리스닝 문항]</t>
        </is>
      </c>
      <c r="F43" s="21" t="inlineStr">
        <is>
          <t>High advertising cost</t>
        </is>
      </c>
      <c r="G43" s="21" t="inlineStr">
        <is>
          <t>Low product conversion rate</t>
        </is>
      </c>
      <c r="H43" s="21" t="inlineStr">
        <is>
          <t>Delayed product delivery</t>
        </is>
      </c>
      <c r="I43" s="21" t="inlineStr">
        <is>
          <t>Website server downtime</t>
        </is>
      </c>
      <c r="J43" s="20" t="inlineStr">
        <is>
          <t>B</t>
        </is>
      </c>
      <c r="K43" s="22" t="inlineStr">
        <is>
          <t>📱 Q42번 풀기</t>
        </is>
      </c>
    </row>
    <row r="44">
      <c r="A44" s="17" t="inlineStr">
        <is>
          <t>Q43</t>
        </is>
      </c>
      <c r="B44" s="17" t="inlineStr">
        <is>
          <t>Part 3</t>
        </is>
      </c>
      <c r="C44" s="18" t="inlineStr">
        <is>
          <t>Short Conversation (Marketing Campaign Analysis)</t>
        </is>
      </c>
      <c r="D44" s="18" t="inlineStr">
        <is>
          <t>What does the man suggest doing?</t>
        </is>
      </c>
      <c r="E44" s="18" t="inlineStr">
        <is>
          <t>[귀로만 듣고 푸는 실전 리스닝 문항]</t>
        </is>
      </c>
      <c r="F44" s="18" t="inlineStr">
        <is>
          <t>Hiring an advertising agency</t>
        </is>
      </c>
      <c r="G44" s="18" t="inlineStr">
        <is>
          <t>Offering a discount code in a newsletter</t>
        </is>
      </c>
      <c r="H44" s="18" t="inlineStr">
        <is>
          <t>Redesigning the company website</t>
        </is>
      </c>
      <c r="I44" s="18" t="inlineStr">
        <is>
          <t>Extending the campaign duration</t>
        </is>
      </c>
      <c r="J44" s="17" t="inlineStr">
        <is>
          <t>B</t>
        </is>
      </c>
      <c r="K44" s="19" t="inlineStr">
        <is>
          <t>📱 Q43번 풀기</t>
        </is>
      </c>
    </row>
    <row r="45">
      <c r="A45" s="20" t="inlineStr">
        <is>
          <t>Q44</t>
        </is>
      </c>
      <c r="B45" s="20" t="inlineStr">
        <is>
          <t>Part 3</t>
        </is>
      </c>
      <c r="C45" s="21" t="inlineStr">
        <is>
          <t>Short Conversation (Security Badge Permission Update)</t>
        </is>
      </c>
      <c r="D45" s="21" t="inlineStr">
        <is>
          <t>What problem is the man experiencing?</t>
        </is>
      </c>
      <c r="E45" s="21" t="inlineStr">
        <is>
          <t>[귀로만 듣고 푸는 실전 리스닝 문항]</t>
        </is>
      </c>
      <c r="F45" s="21" t="inlineStr">
        <is>
          <t>He lost his wallet.</t>
        </is>
      </c>
      <c r="G45" s="21" t="inlineStr">
        <is>
          <t>His security badge doesn't open a door.</t>
        </is>
      </c>
      <c r="H45" s="21" t="inlineStr">
        <is>
          <t>His computer password expired.</t>
        </is>
      </c>
      <c r="I45" s="21" t="inlineStr">
        <is>
          <t>The lab equipment is damaged.</t>
        </is>
      </c>
      <c r="J45" s="20" t="inlineStr">
        <is>
          <t>B</t>
        </is>
      </c>
      <c r="K45" s="22" t="inlineStr">
        <is>
          <t>📱 Q44번 풀기</t>
        </is>
      </c>
    </row>
    <row r="46">
      <c r="A46" s="17" t="inlineStr">
        <is>
          <t>Q45</t>
        </is>
      </c>
      <c r="B46" s="17" t="inlineStr">
        <is>
          <t>Part 3</t>
        </is>
      </c>
      <c r="C46" s="18" t="inlineStr">
        <is>
          <t>Short Conversation (Security Badge Permission Update)</t>
        </is>
      </c>
      <c r="D46" s="18" t="inlineStr">
        <is>
          <t>Why is the badge not working?</t>
        </is>
      </c>
      <c r="E46" s="18" t="inlineStr">
        <is>
          <t>[귀로만 듣고 푸는 실전 리스닝 문항]</t>
        </is>
      </c>
      <c r="F46" s="18" t="inlineStr">
        <is>
          <t>It was reported lost.</t>
        </is>
      </c>
      <c r="G46" s="18" t="inlineStr">
        <is>
          <t>Access permissions were updated.</t>
        </is>
      </c>
      <c r="H46" s="18" t="inlineStr">
        <is>
          <t>The battery needs replacement.</t>
        </is>
      </c>
      <c r="I46" s="18" t="inlineStr">
        <is>
          <t>The lab is closed for cleaning.</t>
        </is>
      </c>
      <c r="J46" s="17" t="inlineStr">
        <is>
          <t>B</t>
        </is>
      </c>
      <c r="K46" s="19" t="inlineStr">
        <is>
          <t>📱 Q45번 풀기</t>
        </is>
      </c>
    </row>
    <row r="47">
      <c r="A47" s="20" t="inlineStr">
        <is>
          <t>Q46</t>
        </is>
      </c>
      <c r="B47" s="20" t="inlineStr">
        <is>
          <t>Part 3</t>
        </is>
      </c>
      <c r="C47" s="21" t="inlineStr">
        <is>
          <t>Short Conversation (Security Badge Permission Update)</t>
        </is>
      </c>
      <c r="D47" s="21" t="inlineStr">
        <is>
          <t>Where should the man go?</t>
        </is>
      </c>
      <c r="E47" s="21" t="inlineStr">
        <is>
          <t>[귀로만 듣고 푸는 실전 리스닝 문항]</t>
        </is>
      </c>
      <c r="F47" s="21" t="inlineStr">
        <is>
          <t>The human resources office</t>
        </is>
      </c>
      <c r="G47" s="21" t="inlineStr">
        <is>
          <t>The fifth-floor laboratory</t>
        </is>
      </c>
      <c r="H47" s="21" t="inlineStr">
        <is>
          <t>The ground floor security office</t>
        </is>
      </c>
      <c r="I47" s="21" t="inlineStr">
        <is>
          <t>The IT help desk</t>
        </is>
      </c>
      <c r="J47" s="20" t="inlineStr">
        <is>
          <t>C</t>
        </is>
      </c>
      <c r="K47" s="22" t="inlineStr">
        <is>
          <t>📱 Q46번 풀기</t>
        </is>
      </c>
    </row>
    <row r="48">
      <c r="A48" s="17" t="inlineStr">
        <is>
          <t>Q47</t>
        </is>
      </c>
      <c r="B48" s="17" t="inlineStr">
        <is>
          <t>Part 3</t>
        </is>
      </c>
      <c r="C48" s="18" t="inlineStr">
        <is>
          <t>Short Conversation (Inventory Supply Shortage)</t>
        </is>
      </c>
      <c r="D48" s="18" t="inlineStr">
        <is>
          <t>What item is in short supply?</t>
        </is>
      </c>
      <c r="E48" s="18" t="inlineStr">
        <is>
          <t>[귀로만 듣고 푸는 실전 리스닝 문항]</t>
        </is>
      </c>
      <c r="F48" s="18" t="inlineStr">
        <is>
          <t>Cement bags</t>
        </is>
      </c>
      <c r="G48" s="18" t="inlineStr">
        <is>
          <t>Steel beams</t>
        </is>
      </c>
      <c r="H48" s="18" t="inlineStr">
        <is>
          <t>Copper wiring</t>
        </is>
      </c>
      <c r="I48" s="18" t="inlineStr">
        <is>
          <t>Safety helmets</t>
        </is>
      </c>
      <c r="J48" s="17" t="inlineStr">
        <is>
          <t>B</t>
        </is>
      </c>
      <c r="K48" s="19" t="inlineStr">
        <is>
          <t>📱 Q47번 풀기</t>
        </is>
      </c>
    </row>
    <row r="49">
      <c r="A49" s="20" t="inlineStr">
        <is>
          <t>Q48</t>
        </is>
      </c>
      <c r="B49" s="20" t="inlineStr">
        <is>
          <t>Part 3</t>
        </is>
      </c>
      <c r="C49" s="21" t="inlineStr">
        <is>
          <t>Short Conversation (Inventory Supply Shortage)</t>
        </is>
      </c>
      <c r="D49" s="21" t="inlineStr">
        <is>
          <t>What is scheduled for tomorrow afternoon?</t>
        </is>
      </c>
      <c r="E49" s="21" t="inlineStr">
        <is>
          <t>[귀로만 듣고 푸는 실전 리스닝 문항]</t>
        </is>
      </c>
      <c r="F49" s="21" t="inlineStr">
        <is>
          <t>A safety inspection</t>
        </is>
      </c>
      <c r="G49" s="21" t="inlineStr">
        <is>
          <t>A contract negotiation</t>
        </is>
      </c>
      <c r="H49" s="21" t="inlineStr">
        <is>
          <t>An order shipment</t>
        </is>
      </c>
      <c r="I49" s="21" t="inlineStr">
        <is>
          <t>A site groundbreaking ceremony</t>
        </is>
      </c>
      <c r="J49" s="20" t="inlineStr">
        <is>
          <t>C</t>
        </is>
      </c>
      <c r="K49" s="22" t="inlineStr">
        <is>
          <t>📱 Q48번 풀기</t>
        </is>
      </c>
    </row>
    <row r="50">
      <c r="A50" s="17" t="inlineStr">
        <is>
          <t>Q49</t>
        </is>
      </c>
      <c r="B50" s="17" t="inlineStr">
        <is>
          <t>Part 3</t>
        </is>
      </c>
      <c r="C50" s="18" t="inlineStr">
        <is>
          <t>Short Conversation (Inventory Supply Shortage)</t>
        </is>
      </c>
      <c r="D50" s="18" t="inlineStr">
        <is>
          <t>What does the woman ask the man to request?</t>
        </is>
      </c>
      <c r="E50" s="18" t="inlineStr">
        <is>
          <t>[귀로만 듣고 푸는 실전 리스닝 문항]</t>
        </is>
      </c>
      <c r="F50" s="18" t="inlineStr">
        <is>
          <t>A volume discount</t>
        </is>
      </c>
      <c r="G50" s="18" t="inlineStr">
        <is>
          <t>Overnight expedited shipping</t>
        </is>
      </c>
      <c r="H50" s="18" t="inlineStr">
        <is>
          <t>An order cancellation</t>
        </is>
      </c>
      <c r="I50" s="18" t="inlineStr">
        <is>
          <t>A revised project blueprint</t>
        </is>
      </c>
      <c r="J50" s="17" t="inlineStr">
        <is>
          <t>B</t>
        </is>
      </c>
      <c r="K50" s="19" t="inlineStr">
        <is>
          <t>📱 Q49번 풀기</t>
        </is>
      </c>
    </row>
    <row r="51">
      <c r="A51" s="20" t="inlineStr">
        <is>
          <t>Q50</t>
        </is>
      </c>
      <c r="B51" s="20" t="inlineStr">
        <is>
          <t>Part 3</t>
        </is>
      </c>
      <c r="C51" s="21" t="inlineStr">
        <is>
          <t>Short Conversation (Restaurant Banquet Booking)</t>
        </is>
      </c>
      <c r="D51" s="21" t="inlineStr">
        <is>
          <t>What type of event is the woman planning?</t>
        </is>
      </c>
      <c r="E51" s="21" t="inlineStr">
        <is>
          <t>[귀로만 듣고 푸는 실전 리스닝 문항]</t>
        </is>
      </c>
      <c r="F51" s="21" t="inlineStr">
        <is>
          <t>A wedding reception</t>
        </is>
      </c>
      <c r="G51" s="21" t="inlineStr">
        <is>
          <t>A corporate retirement banquet</t>
        </is>
      </c>
      <c r="H51" s="21" t="inlineStr">
        <is>
          <t>A product launch party</t>
        </is>
      </c>
      <c r="I51" s="21" t="inlineStr">
        <is>
          <t>A birthday celebration</t>
        </is>
      </c>
      <c r="J51" s="20" t="inlineStr">
        <is>
          <t>B</t>
        </is>
      </c>
      <c r="K51" s="22" t="inlineStr">
        <is>
          <t>📱 Q50번 풀기</t>
        </is>
      </c>
    </row>
    <row r="52">
      <c r="A52" s="17" t="inlineStr">
        <is>
          <t>Q51</t>
        </is>
      </c>
      <c r="B52" s="17" t="inlineStr">
        <is>
          <t>Part 3</t>
        </is>
      </c>
      <c r="C52" s="18" t="inlineStr">
        <is>
          <t>Short Conversation (Restaurant Banquet Booking)</t>
        </is>
      </c>
      <c r="D52" s="18" t="inlineStr">
        <is>
          <t>What feature of the room does the man highlight?</t>
        </is>
      </c>
      <c r="E52" s="18" t="inlineStr">
        <is>
          <t>[귀로만 듣고 푸는 실전 리스닝 문항]</t>
        </is>
      </c>
      <c r="F52" s="18" t="inlineStr">
        <is>
          <t>Outdoor terrace access</t>
        </is>
      </c>
      <c r="G52" s="18" t="inlineStr">
        <is>
          <t>A dedicated audiovisual screen</t>
        </is>
      </c>
      <c r="H52" s="18" t="inlineStr">
        <is>
          <t>A dance floor</t>
        </is>
      </c>
      <c r="I52" s="18" t="inlineStr">
        <is>
          <t>A view of the harbor</t>
        </is>
      </c>
      <c r="J52" s="17" t="inlineStr">
        <is>
          <t>B</t>
        </is>
      </c>
      <c r="K52" s="19" t="inlineStr">
        <is>
          <t>📱 Q51번 풀기</t>
        </is>
      </c>
    </row>
    <row r="53">
      <c r="A53" s="20" t="inlineStr">
        <is>
          <t>Q52</t>
        </is>
      </c>
      <c r="B53" s="20" t="inlineStr">
        <is>
          <t>Part 3</t>
        </is>
      </c>
      <c r="C53" s="21" t="inlineStr">
        <is>
          <t>Short Conversation (Restaurant Banquet Booking)</t>
        </is>
      </c>
      <c r="D53" s="21" t="inlineStr">
        <is>
          <t>What will the man email to the woman?</t>
        </is>
      </c>
      <c r="E53" s="21" t="inlineStr">
        <is>
          <t>[귀로만 듣고 푸는 실전 리스닝 문항]</t>
        </is>
      </c>
      <c r="F53" s="21" t="inlineStr">
        <is>
          <t>A venue contract</t>
        </is>
      </c>
      <c r="G53" s="21" t="inlineStr">
        <is>
          <t>Menu options and pricing</t>
        </is>
      </c>
      <c r="H53" s="21" t="inlineStr">
        <is>
          <t>Directions to the restaurant</t>
        </is>
      </c>
      <c r="I53" s="21" t="inlineStr">
        <is>
          <t>Customer testimonials</t>
        </is>
      </c>
      <c r="J53" s="20" t="inlineStr">
        <is>
          <t>B</t>
        </is>
      </c>
      <c r="K53" s="22" t="inlineStr">
        <is>
          <t>📱 Q52번 풀기</t>
        </is>
      </c>
    </row>
    <row r="54">
      <c r="A54" s="17" t="inlineStr">
        <is>
          <t>Q53</t>
        </is>
      </c>
      <c r="B54" s="17" t="inlineStr">
        <is>
          <t>Part 3</t>
        </is>
      </c>
      <c r="C54" s="18" t="inlineStr">
        <is>
          <t>Short Conversation (Software Migration &amp; Training Webinar)</t>
        </is>
      </c>
      <c r="D54" s="18" t="inlineStr">
        <is>
          <t>What took place over the weekend?</t>
        </is>
      </c>
      <c r="E54" s="18" t="inlineStr">
        <is>
          <t>[귀로만 듣고 푸는 실전 리스닝 문항]</t>
        </is>
      </c>
      <c r="F54" s="18" t="inlineStr">
        <is>
          <t>An office relocation</t>
        </is>
      </c>
      <c r="G54" s="18" t="inlineStr">
        <is>
          <t>A cloud data migration</t>
        </is>
      </c>
      <c r="H54" s="18" t="inlineStr">
        <is>
          <t>A budget audit</t>
        </is>
      </c>
      <c r="I54" s="18" t="inlineStr">
        <is>
          <t>A client presentation</t>
        </is>
      </c>
      <c r="J54" s="17" t="inlineStr">
        <is>
          <t>B</t>
        </is>
      </c>
      <c r="K54" s="19" t="inlineStr">
        <is>
          <t>📱 Q53번 풀기</t>
        </is>
      </c>
    </row>
    <row r="55">
      <c r="A55" s="20" t="inlineStr">
        <is>
          <t>Q54</t>
        </is>
      </c>
      <c r="B55" s="20" t="inlineStr">
        <is>
          <t>Part 3</t>
        </is>
      </c>
      <c r="C55" s="21" t="inlineStr">
        <is>
          <t>Short Conversation (Software Migration &amp; Training Webinar)</t>
        </is>
      </c>
      <c r="D55" s="21" t="inlineStr">
        <is>
          <t>What difficulty are staff members experiencing?</t>
        </is>
      </c>
      <c r="E55" s="21" t="inlineStr">
        <is>
          <t>[귀로만 듣고 푸는 실전 리스닝 문항]</t>
        </is>
      </c>
      <c r="F55" s="21" t="inlineStr">
        <is>
          <t>Slow internet connectivity</t>
        </is>
      </c>
      <c r="G55" s="21" t="inlineStr">
        <is>
          <t>Confusing invoice interface</t>
        </is>
      </c>
      <c r="H55" s="21" t="inlineStr">
        <is>
          <t>Missing payroll documents</t>
        </is>
      </c>
      <c r="I55" s="21" t="inlineStr">
        <is>
          <t>Broken computer hardware</t>
        </is>
      </c>
      <c r="J55" s="20" t="inlineStr">
        <is>
          <t>B</t>
        </is>
      </c>
      <c r="K55" s="22" t="inlineStr">
        <is>
          <t>📱 Q54번 풀기</t>
        </is>
      </c>
    </row>
    <row r="56">
      <c r="A56" s="17" t="inlineStr">
        <is>
          <t>Q55</t>
        </is>
      </c>
      <c r="B56" s="17" t="inlineStr">
        <is>
          <t>Part 3</t>
        </is>
      </c>
      <c r="C56" s="18" t="inlineStr">
        <is>
          <t>Short Conversation (Software Migration &amp; Training Webinar)</t>
        </is>
      </c>
      <c r="D56" s="18" t="inlineStr">
        <is>
          <t>What will happen tomorrow morning at 10:00 A.M.?</t>
        </is>
      </c>
      <c r="E56" s="18" t="inlineStr">
        <is>
          <t>[귀로만 듣고 푸는 실전 리스닝 문항]</t>
        </is>
      </c>
      <c r="F56" s="18" t="inlineStr">
        <is>
          <t>A live training webinar</t>
        </is>
      </c>
      <c r="G56" s="18" t="inlineStr">
        <is>
          <t>A system shutdown</t>
        </is>
      </c>
      <c r="H56" s="18" t="inlineStr">
        <is>
          <t>A client conference</t>
        </is>
      </c>
      <c r="I56" s="18" t="inlineStr">
        <is>
          <t>An executive performance review</t>
        </is>
      </c>
      <c r="J56" s="17" t="inlineStr">
        <is>
          <t>A</t>
        </is>
      </c>
      <c r="K56" s="19" t="inlineStr">
        <is>
          <t>📱 Q55번 풀기</t>
        </is>
      </c>
    </row>
    <row r="57">
      <c r="A57" s="20" t="inlineStr">
        <is>
          <t>Q56</t>
        </is>
      </c>
      <c r="B57" s="20" t="inlineStr">
        <is>
          <t>Part 3</t>
        </is>
      </c>
      <c r="C57" s="21" t="inlineStr">
        <is>
          <t>Short Conversation (Airport Guest Pickup &amp; Route Adjustment)</t>
        </is>
      </c>
      <c r="D57" s="21" t="inlineStr">
        <is>
          <t>Who are the speakers trying to meet?</t>
        </is>
      </c>
      <c r="E57" s="21" t="inlineStr">
        <is>
          <t>[귀로만 듣고 푸는 실전 리스닝 문항]</t>
        </is>
      </c>
      <c r="F57" s="21" t="inlineStr">
        <is>
          <t>A new job candidate</t>
        </is>
      </c>
      <c r="G57" s="21" t="inlineStr">
        <is>
          <t>An international visitor</t>
        </is>
      </c>
      <c r="H57" s="21" t="inlineStr">
        <is>
          <t>A delivery driver</t>
        </is>
      </c>
      <c r="I57" s="21" t="inlineStr">
        <is>
          <t>A city inspector</t>
        </is>
      </c>
      <c r="J57" s="20" t="inlineStr">
        <is>
          <t>B</t>
        </is>
      </c>
      <c r="K57" s="22" t="inlineStr">
        <is>
          <t>📱 Q56번 풀기</t>
        </is>
      </c>
    </row>
    <row r="58">
      <c r="A58" s="17" t="inlineStr">
        <is>
          <t>Q57</t>
        </is>
      </c>
      <c r="B58" s="17" t="inlineStr">
        <is>
          <t>Part 3</t>
        </is>
      </c>
      <c r="C58" s="18" t="inlineStr">
        <is>
          <t>Short Conversation (Airport Guest Pickup &amp; Route Adjustment)</t>
        </is>
      </c>
      <c r="D58" s="18" t="inlineStr">
        <is>
          <t>What is causing a delay on Highway 95?</t>
        </is>
      </c>
      <c r="E58" s="18" t="inlineStr">
        <is>
          <t>[귀로만 듣고 푸는 실전 리스닝 문항]</t>
        </is>
      </c>
      <c r="F58" s="18" t="inlineStr">
        <is>
          <t>A traffic accident</t>
        </is>
      </c>
      <c r="G58" s="18" t="inlineStr">
        <is>
          <t>Road construction</t>
        </is>
      </c>
      <c r="H58" s="18" t="inlineStr">
        <is>
          <t>Severe thunderstorm</t>
        </is>
      </c>
      <c r="I58" s="18" t="inlineStr">
        <is>
          <t>A parade</t>
        </is>
      </c>
      <c r="J58" s="17" t="inlineStr">
        <is>
          <t>B</t>
        </is>
      </c>
      <c r="K58" s="19" t="inlineStr">
        <is>
          <t>📱 Q57번 풀기</t>
        </is>
      </c>
    </row>
    <row r="59">
      <c r="A59" s="20" t="inlineStr">
        <is>
          <t>Q58</t>
        </is>
      </c>
      <c r="B59" s="20" t="inlineStr">
        <is>
          <t>Part 3</t>
        </is>
      </c>
      <c r="C59" s="21" t="inlineStr">
        <is>
          <t>Short Conversation (Airport Guest Pickup &amp; Route Adjustment)</t>
        </is>
      </c>
      <c r="D59" s="21" t="inlineStr">
        <is>
          <t>What solution does the woman suggest?</t>
        </is>
      </c>
      <c r="E59" s="21" t="inlineStr">
        <is>
          <t>[귀로만 듣고 푸는 실전 리스닝 문항]</t>
        </is>
      </c>
      <c r="F59" s="21" t="inlineStr">
        <is>
          <t>Taking the subway</t>
        </is>
      </c>
      <c r="G59" s="21" t="inlineStr">
        <is>
          <t>Using the express toll road</t>
        </is>
      </c>
      <c r="H59" s="21" t="inlineStr">
        <is>
          <t>Postponing the dinner</t>
        </is>
      </c>
      <c r="I59" s="21" t="inlineStr">
        <is>
          <t>Booking a hotel near the airport</t>
        </is>
      </c>
      <c r="J59" s="20" t="inlineStr">
        <is>
          <t>B</t>
        </is>
      </c>
      <c r="K59" s="22" t="inlineStr">
        <is>
          <t>📱 Q58번 풀기</t>
        </is>
      </c>
    </row>
    <row r="60">
      <c r="A60" s="17" t="inlineStr">
        <is>
          <t>Q59</t>
        </is>
      </c>
      <c r="B60" s="17" t="inlineStr">
        <is>
          <t>Part 3</t>
        </is>
      </c>
      <c r="C60" s="18" t="inlineStr">
        <is>
          <t>Short Conversation (Hiring Decision for Senior Designer)</t>
        </is>
      </c>
      <c r="D60" s="18" t="inlineStr">
        <is>
          <t>What position are the speakers discussing?</t>
        </is>
      </c>
      <c r="E60" s="18" t="inlineStr">
        <is>
          <t>[귀로만 듣고 푸는 실전 리스닝 문항]</t>
        </is>
      </c>
      <c r="F60" s="18" t="inlineStr">
        <is>
          <t>Senior graphic designer</t>
        </is>
      </c>
      <c r="G60" s="18" t="inlineStr">
        <is>
          <t>Marketing director</t>
        </is>
      </c>
      <c r="H60" s="18" t="inlineStr">
        <is>
          <t>Web developer</t>
        </is>
      </c>
      <c r="I60" s="18" t="inlineStr">
        <is>
          <t>Copywriter</t>
        </is>
      </c>
      <c r="J60" s="17" t="inlineStr">
        <is>
          <t>A</t>
        </is>
      </c>
      <c r="K60" s="19" t="inlineStr">
        <is>
          <t>📱 Q59번 풀기</t>
        </is>
      </c>
    </row>
    <row r="61">
      <c r="A61" s="20" t="inlineStr">
        <is>
          <t>Q60</t>
        </is>
      </c>
      <c r="B61" s="20" t="inlineStr">
        <is>
          <t>Part 3</t>
        </is>
      </c>
      <c r="C61" s="21" t="inlineStr">
        <is>
          <t>Short Conversation (Hiring Decision for Senior Designer)</t>
        </is>
      </c>
      <c r="D61" s="21" t="inlineStr">
        <is>
          <t>Why does the woman prefer Elena Rostova?</t>
        </is>
      </c>
      <c r="E61" s="21" t="inlineStr">
        <is>
          <t>[귀로만 듣고 푸는 실전 리스닝 문항]</t>
        </is>
      </c>
      <c r="F61" s="21" t="inlineStr">
        <is>
          <t>She asked for a lower salary.</t>
        </is>
      </c>
      <c r="G61" s="21" t="inlineStr">
        <is>
          <t>She has corporate branding experience.</t>
        </is>
      </c>
      <c r="H61" s="21" t="inlineStr">
        <is>
          <t>She lives closer to the office.</t>
        </is>
      </c>
      <c r="I61" s="21" t="inlineStr">
        <is>
          <t>She can start immediately.</t>
        </is>
      </c>
      <c r="J61" s="20" t="inlineStr">
        <is>
          <t>B</t>
        </is>
      </c>
      <c r="K61" s="22" t="inlineStr">
        <is>
          <t>📱 Q60번 풀기</t>
        </is>
      </c>
    </row>
    <row r="62">
      <c r="A62" s="17" t="inlineStr">
        <is>
          <t>Q61</t>
        </is>
      </c>
      <c r="B62" s="17" t="inlineStr">
        <is>
          <t>Part 3</t>
        </is>
      </c>
      <c r="C62" s="18" t="inlineStr">
        <is>
          <t>Short Conversation (Hiring Decision for Senior Designer)</t>
        </is>
      </c>
      <c r="D62" s="18" t="inlineStr">
        <is>
          <t>What will the speakers do on Thursday?</t>
        </is>
      </c>
      <c r="E62" s="18" t="inlineStr">
        <is>
          <t>[귀로만 듣고 푸는 실전 리스닝 문항]</t>
        </is>
      </c>
      <c r="F62" s="18" t="inlineStr">
        <is>
          <t>Sign an employment contract</t>
        </is>
      </c>
      <c r="G62" s="18" t="inlineStr">
        <is>
          <t>Interview a job applicant</t>
        </is>
      </c>
      <c r="H62" s="18" t="inlineStr">
        <is>
          <t>Launch a new website</t>
        </is>
      </c>
      <c r="I62" s="18" t="inlineStr">
        <is>
          <t>Review project budgets</t>
        </is>
      </c>
      <c r="J62" s="17" t="inlineStr">
        <is>
          <t>B</t>
        </is>
      </c>
      <c r="K62" s="19" t="inlineStr">
        <is>
          <t>📱 Q61번 풀기</t>
        </is>
      </c>
    </row>
    <row r="63">
      <c r="A63" s="20" t="inlineStr">
        <is>
          <t>Q62</t>
        </is>
      </c>
      <c r="B63" s="20" t="inlineStr">
        <is>
          <t>Part 3</t>
        </is>
      </c>
      <c r="C63" s="21" t="inlineStr">
        <is>
          <t>Short Conversation (Retail Store Remodeling &amp; Storage Request)</t>
        </is>
      </c>
      <c r="D63" s="21" t="inlineStr">
        <is>
          <t>Who most likely is the woman?</t>
        </is>
      </c>
      <c r="E63" s="21" t="inlineStr">
        <is>
          <t>[귀로만 듣고 푸는 실전 리스닝 문항]</t>
        </is>
      </c>
      <c r="F63" s="21" t="inlineStr">
        <is>
          <t>A mall architect</t>
        </is>
      </c>
      <c r="G63" s="21" t="inlineStr">
        <is>
          <t>A store manager</t>
        </is>
      </c>
      <c r="H63" s="21" t="inlineStr">
        <is>
          <t>A security guard</t>
        </is>
      </c>
      <c r="I63" s="21" t="inlineStr">
        <is>
          <t>An electrician</t>
        </is>
      </c>
      <c r="J63" s="20" t="inlineStr">
        <is>
          <t>B</t>
        </is>
      </c>
      <c r="K63" s="22" t="inlineStr">
        <is>
          <t>📱 Q62번 풀기</t>
        </is>
      </c>
    </row>
    <row r="64">
      <c r="A64" s="17" t="inlineStr">
        <is>
          <t>Q63</t>
        </is>
      </c>
      <c r="B64" s="17" t="inlineStr">
        <is>
          <t>Part 3</t>
        </is>
      </c>
      <c r="C64" s="18" t="inlineStr">
        <is>
          <t>Short Conversation (Retail Store Remodeling &amp; Storage Request)</t>
        </is>
      </c>
      <c r="D64" s="18" t="inlineStr">
        <is>
          <t>What does the woman request from mall management?</t>
        </is>
      </c>
      <c r="E64" s="18" t="inlineStr">
        <is>
          <t>[귀로만 듣고 푸는 실전 리스닝 문항]</t>
        </is>
      </c>
      <c r="F64" s="18" t="inlineStr">
        <is>
          <t>A rent reduction</t>
        </is>
      </c>
      <c r="G64" s="18" t="inlineStr">
        <is>
          <t>Temporary storage space</t>
        </is>
      </c>
      <c r="H64" s="18" t="inlineStr">
        <is>
          <t>Extra parking passes</t>
        </is>
      </c>
      <c r="I64" s="18" t="inlineStr">
        <is>
          <t>Marketing flyers</t>
        </is>
      </c>
      <c r="J64" s="17" t="inlineStr">
        <is>
          <t>B</t>
        </is>
      </c>
      <c r="K64" s="19" t="inlineStr">
        <is>
          <t>📱 Q63번 풀기</t>
        </is>
      </c>
    </row>
    <row r="65">
      <c r="A65" s="20" t="inlineStr">
        <is>
          <t>Q64</t>
        </is>
      </c>
      <c r="B65" s="20" t="inlineStr">
        <is>
          <t>Part 3</t>
        </is>
      </c>
      <c r="C65" s="21" t="inlineStr">
        <is>
          <t>Short Conversation (Retail Store Remodeling &amp; Storage Request)</t>
        </is>
      </c>
      <c r="D65" s="21" t="inlineStr">
        <is>
          <t>What does the woman ask about regarding the freight elevator?</t>
        </is>
      </c>
      <c r="E65" s="21" t="inlineStr">
        <is>
          <t>[귀로만 듣고 푸는 실전 리스닝 문항]</t>
        </is>
      </c>
      <c r="F65" s="21" t="inlineStr">
        <is>
          <t>Its weight limit</t>
        </is>
      </c>
      <c r="G65" s="21" t="inlineStr">
        <is>
          <t>Evening access permissions</t>
        </is>
      </c>
      <c r="H65" s="21" t="inlineStr">
        <is>
          <t>Inspection status</t>
        </is>
      </c>
      <c r="I65" s="21" t="inlineStr">
        <is>
          <t>Operating manual</t>
        </is>
      </c>
      <c r="J65" s="20" t="inlineStr">
        <is>
          <t>B</t>
        </is>
      </c>
      <c r="K65" s="22" t="inlineStr">
        <is>
          <t>📱 Q64번 풀기</t>
        </is>
      </c>
    </row>
    <row r="66">
      <c r="A66" s="17" t="inlineStr">
        <is>
          <t>Q65</t>
        </is>
      </c>
      <c r="B66" s="17" t="inlineStr">
        <is>
          <t>Part 3</t>
        </is>
      </c>
      <c r="C66" s="18" t="inlineStr">
        <is>
          <t>Short Conversation (Brochure Misprint &amp; Reprint Solution)</t>
        </is>
      </c>
      <c r="D66" s="18" t="inlineStr">
        <is>
          <t>What event are the speakers preparing for?</t>
        </is>
      </c>
      <c r="E66" s="18" t="inlineStr">
        <is>
          <t>[귀로만 듣고 푸는 실전 리스닝 문항]</t>
        </is>
      </c>
      <c r="F66" s="18" t="inlineStr">
        <is>
          <t>A medical symposium</t>
        </is>
      </c>
      <c r="G66" s="18" t="inlineStr">
        <is>
          <t>A renewable energy expo</t>
        </is>
      </c>
      <c r="H66" s="18" t="inlineStr">
        <is>
          <t>An annual shareholder meeting</t>
        </is>
      </c>
      <c r="I66" s="18" t="inlineStr">
        <is>
          <t>A community charity run</t>
        </is>
      </c>
      <c r="J66" s="17" t="inlineStr">
        <is>
          <t>B</t>
        </is>
      </c>
      <c r="K66" s="19" t="inlineStr">
        <is>
          <t>📱 Q65번 풀기</t>
        </is>
      </c>
    </row>
    <row r="67">
      <c r="A67" s="20" t="inlineStr">
        <is>
          <t>Q66</t>
        </is>
      </c>
      <c r="B67" s="20" t="inlineStr">
        <is>
          <t>Part 3</t>
        </is>
      </c>
      <c r="C67" s="21" t="inlineStr">
        <is>
          <t>Short Conversation (Brochure Misprint &amp; Reprint Solution)</t>
        </is>
      </c>
      <c r="D67" s="21" t="inlineStr">
        <is>
          <t>What is wrong with the promotional brochures?</t>
        </is>
      </c>
      <c r="E67" s="21" t="inlineStr">
        <is>
          <t>[귀로만 듣고 푸는 실전 리스닝 문항]</t>
        </is>
      </c>
      <c r="F67" s="21" t="inlineStr">
        <is>
          <t>The delivery was late.</t>
        </is>
      </c>
      <c r="G67" s="21" t="inlineStr">
        <is>
          <t>The colors are faded.</t>
        </is>
      </c>
      <c r="H67" s="21" t="inlineStr">
        <is>
          <t>The website address is misspelled.</t>
        </is>
      </c>
      <c r="I67" s="21" t="inlineStr">
        <is>
          <t>The paper quality is inferior.</t>
        </is>
      </c>
      <c r="J67" s="20" t="inlineStr">
        <is>
          <t>C</t>
        </is>
      </c>
      <c r="K67" s="22" t="inlineStr">
        <is>
          <t>📱 Q66번 풀기</t>
        </is>
      </c>
    </row>
    <row r="68">
      <c r="A68" s="17" t="inlineStr">
        <is>
          <t>Q67</t>
        </is>
      </c>
      <c r="B68" s="17" t="inlineStr">
        <is>
          <t>Part 3</t>
        </is>
      </c>
      <c r="C68" s="18" t="inlineStr">
        <is>
          <t>Short Conversation (Brochure Misprint &amp; Reprint Solution)</t>
        </is>
      </c>
      <c r="D68" s="18" t="inlineStr">
        <is>
          <t>What did the printing company agree to do?</t>
        </is>
      </c>
      <c r="E68" s="18" t="inlineStr">
        <is>
          <t>[귀로만 듣고 푸는 실전 리스닝 문항]</t>
        </is>
      </c>
      <c r="F68" s="18" t="inlineStr">
        <is>
          <t>Provide a 50% discount</t>
        </is>
      </c>
      <c r="G68" s="18" t="inlineStr">
        <is>
          <t>Reprint and rush deliver the batch for free</t>
        </is>
      </c>
      <c r="H68" s="18" t="inlineStr">
        <is>
          <t>Issue a full refund</t>
        </is>
      </c>
      <c r="I68" s="18" t="inlineStr">
        <is>
          <t>Send an electronic PDF version</t>
        </is>
      </c>
      <c r="J68" s="17" t="inlineStr">
        <is>
          <t>B</t>
        </is>
      </c>
      <c r="K68" s="19" t="inlineStr">
        <is>
          <t>📱 Q67번 풀기</t>
        </is>
      </c>
    </row>
    <row r="69">
      <c r="A69" s="20" t="inlineStr">
        <is>
          <t>Q68</t>
        </is>
      </c>
      <c r="B69" s="20" t="inlineStr">
        <is>
          <t>Part 3</t>
        </is>
      </c>
      <c r="C69" s="21" t="inlineStr">
        <is>
          <t>Short Conversation (Annual Budget Planning &amp; Equipment Grant)</t>
        </is>
      </c>
      <c r="D69" s="21" t="inlineStr">
        <is>
          <t>What must division directors submit by Friday?</t>
        </is>
      </c>
      <c r="E69" s="21" t="inlineStr">
        <is>
          <t>[귀로만 듣고 푸는 실전 리스닝 문항]</t>
        </is>
      </c>
      <c r="F69" s="21" t="inlineStr">
        <is>
          <t>Staff performance evaluations</t>
        </is>
      </c>
      <c r="G69" s="21" t="inlineStr">
        <is>
          <t>Preliminary fiscal year budgets</t>
        </is>
      </c>
      <c r="H69" s="21" t="inlineStr">
        <is>
          <t>Quarterly sales receipts</t>
        </is>
      </c>
      <c r="I69" s="21" t="inlineStr">
        <is>
          <t>Office supply requisitions</t>
        </is>
      </c>
      <c r="J69" s="20" t="inlineStr">
        <is>
          <t>B</t>
        </is>
      </c>
      <c r="K69" s="22" t="inlineStr">
        <is>
          <t>📱 Q68번 풀기</t>
        </is>
      </c>
    </row>
    <row r="70">
      <c r="A70" s="17" t="inlineStr">
        <is>
          <t>Q69</t>
        </is>
      </c>
      <c r="B70" s="17" t="inlineStr">
        <is>
          <t>Part 3</t>
        </is>
      </c>
      <c r="C70" s="18" t="inlineStr">
        <is>
          <t>Short Conversation (Annual Budget Planning &amp; Equipment Grant)</t>
        </is>
      </c>
      <c r="D70" s="18" t="inlineStr">
        <is>
          <t>How will the laboratory equipment upgrades be financed?</t>
        </is>
      </c>
      <c r="E70" s="18" t="inlineStr">
        <is>
          <t>[귀로만 듣고 푸는 실전 리스닝 문항]</t>
        </is>
      </c>
      <c r="F70" s="18" t="inlineStr">
        <is>
          <t>Through employee donations</t>
        </is>
      </c>
      <c r="G70" s="18" t="inlineStr">
        <is>
          <t>Through an innovation grant</t>
        </is>
      </c>
      <c r="H70" s="18" t="inlineStr">
        <is>
          <t>Through bank loans</t>
        </is>
      </c>
      <c r="I70" s="18" t="inlineStr">
        <is>
          <t>Through vendor sponsorship</t>
        </is>
      </c>
      <c r="J70" s="17" t="inlineStr">
        <is>
          <t>B</t>
        </is>
      </c>
      <c r="K70" s="19" t="inlineStr">
        <is>
          <t>📱 Q69번 풀기</t>
        </is>
      </c>
    </row>
    <row r="71">
      <c r="A71" s="20" t="inlineStr">
        <is>
          <t>Q70</t>
        </is>
      </c>
      <c r="B71" s="20" t="inlineStr">
        <is>
          <t>Part 3</t>
        </is>
      </c>
      <c r="C71" s="21" t="inlineStr">
        <is>
          <t>Short Conversation (Annual Budget Planning &amp; Equipment Grant)</t>
        </is>
      </c>
      <c r="D71" s="21" t="inlineStr">
        <is>
          <t>What will the woman work on this afternoon?</t>
        </is>
      </c>
      <c r="E71" s="21" t="inlineStr">
        <is>
          <t>[귀로만 듣고 푸는 실전 리스닝 문항]</t>
        </is>
      </c>
      <c r="F71" s="21" t="inlineStr">
        <is>
          <t>Writing a research paper</t>
        </is>
      </c>
      <c r="G71" s="21" t="inlineStr">
        <is>
          <t>Interviewing technicians</t>
        </is>
      </c>
      <c r="H71" s="21" t="inlineStr">
        <is>
          <t>Finalizing an operating expense spreadsheet</t>
        </is>
      </c>
      <c r="I71" s="21" t="inlineStr">
        <is>
          <t>Ordering chemicals</t>
        </is>
      </c>
      <c r="J71" s="20" t="inlineStr">
        <is>
          <t>C</t>
        </is>
      </c>
      <c r="K71" s="22" t="inlineStr">
        <is>
          <t>📱 Q70번 풀기</t>
        </is>
      </c>
    </row>
    <row r="72">
      <c r="A72" s="17" t="inlineStr">
        <is>
          <t>Q71</t>
        </is>
      </c>
      <c r="B72" s="17" t="inlineStr">
        <is>
          <t>Part 4</t>
        </is>
      </c>
      <c r="C72" s="18" t="inlineStr">
        <is>
          <t>Short Talks (Building Maintenance Announcement)</t>
        </is>
      </c>
      <c r="D72" s="18" t="inlineStr">
        <is>
          <t>What is the announcement mainly about?</t>
        </is>
      </c>
      <c r="E72" s="18" t="inlineStr">
        <is>
          <t>[귀로만 듣고 푸는 실전 리스닝 문항]</t>
        </is>
      </c>
      <c r="F72" s="18" t="inlineStr">
        <is>
          <t>A temporary suspension of cooling services</t>
        </is>
      </c>
      <c r="G72" s="18" t="inlineStr">
        <is>
          <t>The installation of new security cameras</t>
        </is>
      </c>
      <c r="H72" s="18" t="inlineStr">
        <is>
          <t>An evacuation drill for a fire hazard</t>
        </is>
      </c>
      <c r="I72" s="18" t="inlineStr">
        <is>
          <t>A promotion celebration for the maintenance team</t>
        </is>
      </c>
      <c r="J72" s="17" t="inlineStr">
        <is>
          <t>A</t>
        </is>
      </c>
      <c r="K72" s="19" t="inlineStr">
        <is>
          <t>📱 Q71번 풀기</t>
        </is>
      </c>
    </row>
    <row r="73">
      <c r="A73" s="20" t="inlineStr">
        <is>
          <t>Q72</t>
        </is>
      </c>
      <c r="B73" s="20" t="inlineStr">
        <is>
          <t>Part 4</t>
        </is>
      </c>
      <c r="C73" s="21" t="inlineStr">
        <is>
          <t>Short Talks (Building Maintenance Announcement)</t>
        </is>
      </c>
      <c r="D73" s="21" t="inlineStr">
        <is>
          <t>How long will the system be shut down?</t>
        </is>
      </c>
      <c r="E73" s="21" t="inlineStr">
        <is>
          <t>[귀로만 듣고 푸는 실전 리스닝 문항]</t>
        </is>
      </c>
      <c r="F73" s="21" t="inlineStr">
        <is>
          <t>About thirty minutes</t>
        </is>
      </c>
      <c r="G73" s="21" t="inlineStr">
        <is>
          <t>Approximately two hours</t>
        </is>
      </c>
      <c r="H73" s="21" t="inlineStr">
        <is>
          <t>All day tomorrow</t>
        </is>
      </c>
      <c r="I73" s="21" t="inlineStr">
        <is>
          <t>Until next week</t>
        </is>
      </c>
      <c r="J73" s="20" t="inlineStr">
        <is>
          <t>B</t>
        </is>
      </c>
      <c r="K73" s="22" t="inlineStr">
        <is>
          <t>📱 Q72번 풀기</t>
        </is>
      </c>
    </row>
    <row r="74">
      <c r="A74" s="17" t="inlineStr">
        <is>
          <t>Q73</t>
        </is>
      </c>
      <c r="B74" s="17" t="inlineStr">
        <is>
          <t>Part 4</t>
        </is>
      </c>
      <c r="C74" s="18" t="inlineStr">
        <is>
          <t>Short Talks (Building Maintenance Announcement)</t>
        </is>
      </c>
      <c r="D74" s="18" t="inlineStr">
        <is>
          <t>What are supervisors authorized to do if offices become too hot?</t>
        </is>
      </c>
      <c r="E74" s="18" t="inlineStr">
        <is>
          <t>[귀로만 듣고 푸는 실전 리스닝 문항]</t>
        </is>
      </c>
      <c r="F74" s="18" t="inlineStr">
        <is>
          <t>Distribute electric fans</t>
        </is>
      </c>
      <c r="G74" s="18" t="inlineStr">
        <is>
          <t>Permit remote work for the afternoon</t>
        </is>
      </c>
      <c r="H74" s="18" t="inlineStr">
        <is>
          <t>Close the building entirely</t>
        </is>
      </c>
      <c r="I74" s="18" t="inlineStr">
        <is>
          <t>Call emergency services</t>
        </is>
      </c>
      <c r="J74" s="17" t="inlineStr">
        <is>
          <t>B</t>
        </is>
      </c>
      <c r="K74" s="19" t="inlineStr">
        <is>
          <t>📱 Q73번 풀기</t>
        </is>
      </c>
    </row>
    <row r="75">
      <c r="A75" s="20" t="inlineStr">
        <is>
          <t>Q74</t>
        </is>
      </c>
      <c r="B75" s="20" t="inlineStr">
        <is>
          <t>Part 4</t>
        </is>
      </c>
      <c r="C75" s="21" t="inlineStr">
        <is>
          <t>Short Talks (Courier Delivery Voicemail)</t>
        </is>
      </c>
      <c r="D75" s="21" t="inlineStr">
        <is>
          <t>Why is the speaker calling?</t>
        </is>
      </c>
      <c r="E75" s="21" t="inlineStr">
        <is>
          <t>[귀로만 듣고 푸는 실전 리스닝 문항]</t>
        </is>
      </c>
      <c r="F75" s="21" t="inlineStr">
        <is>
          <t>To confirm a job interview</t>
        </is>
      </c>
      <c r="G75" s="21" t="inlineStr">
        <is>
          <t>To report an unsuccessful delivery attempt</t>
        </is>
      </c>
      <c r="H75" s="21" t="inlineStr">
        <is>
          <t>To inquire about a damaged shipment</t>
        </is>
      </c>
      <c r="I75" s="21" t="inlineStr">
        <is>
          <t>To offer a discount on shipping</t>
        </is>
      </c>
      <c r="J75" s="20" t="inlineStr">
        <is>
          <t>B</t>
        </is>
      </c>
      <c r="K75" s="22" t="inlineStr">
        <is>
          <t>📱 Q74번 풀기</t>
        </is>
      </c>
    </row>
    <row r="76">
      <c r="A76" s="17" t="inlineStr">
        <is>
          <t>Q75</t>
        </is>
      </c>
      <c r="B76" s="17" t="inlineStr">
        <is>
          <t>Part 4</t>
        </is>
      </c>
      <c r="C76" s="18" t="inlineStr">
        <is>
          <t>Short Talks (Courier Delivery Voicemail)</t>
        </is>
      </c>
      <c r="D76" s="18" t="inlineStr">
        <is>
          <t>Why couldn't the driver leave the package at the front door?</t>
        </is>
      </c>
      <c r="E76" s="18" t="inlineStr">
        <is>
          <t>[귀로만 듣고 푸는 실전 리스닝 문항]</t>
        </is>
      </c>
      <c r="F76" s="18" t="inlineStr">
        <is>
          <t>The package was oversized.</t>
        </is>
      </c>
      <c r="G76" s="18" t="inlineStr">
        <is>
          <t>A recipient signature is required.</t>
        </is>
      </c>
      <c r="H76" s="18" t="inlineStr">
        <is>
          <t>The weather was rainy.</t>
        </is>
      </c>
      <c r="I76" s="18" t="inlineStr">
        <is>
          <t>The address was incorrect.</t>
        </is>
      </c>
      <c r="J76" s="17" t="inlineStr">
        <is>
          <t>B</t>
        </is>
      </c>
      <c r="K76" s="19" t="inlineStr">
        <is>
          <t>📱 Q75번 풀기</t>
        </is>
      </c>
    </row>
    <row r="77">
      <c r="A77" s="20" t="inlineStr">
        <is>
          <t>Q76</t>
        </is>
      </c>
      <c r="B77" s="20" t="inlineStr">
        <is>
          <t>Part 4</t>
        </is>
      </c>
      <c r="C77" s="21" t="inlineStr">
        <is>
          <t>Short Talks (Courier Delivery Voicemail)</t>
        </is>
      </c>
      <c r="D77" s="21" t="inlineStr">
        <is>
          <t>What does the speaker ask Mr. Tanaka to do by 6:00 P.M.?</t>
        </is>
      </c>
      <c r="E77" s="21" t="inlineStr">
        <is>
          <t>[귀로만 듣고 푸는 실전 리스닝 문항]</t>
        </is>
      </c>
      <c r="F77" s="21" t="inlineStr">
        <is>
          <t>Pay an additional shipping fee</t>
        </is>
      </c>
      <c r="G77" s="21" t="inlineStr">
        <is>
          <t>Call back to reschedule delivery</t>
        </is>
      </c>
      <c r="H77" s="21" t="inlineStr">
        <is>
          <t>Pick up the box at the airport</t>
        </is>
      </c>
      <c r="I77" s="21" t="inlineStr">
        <is>
          <t>File an insurance claim</t>
        </is>
      </c>
      <c r="J77" s="20" t="inlineStr">
        <is>
          <t>B</t>
        </is>
      </c>
      <c r="K77" s="22" t="inlineStr">
        <is>
          <t>📱 Q76번 풀기</t>
        </is>
      </c>
    </row>
    <row r="78">
      <c r="A78" s="17" t="inlineStr">
        <is>
          <t>Q77</t>
        </is>
      </c>
      <c r="B78" s="17" t="inlineStr">
        <is>
          <t>Part 4</t>
        </is>
      </c>
      <c r="C78" s="18" t="inlineStr">
        <is>
          <t>Short Talks (Annual General Meeting Address)</t>
        </is>
      </c>
      <c r="D78" s="18" t="inlineStr">
        <is>
          <t>What type of event is taking place?</t>
        </is>
      </c>
      <c r="E78" s="18" t="inlineStr">
        <is>
          <t>[귀로만 듣고 푸는 실전 리스닝 문항]</t>
        </is>
      </c>
      <c r="F78" s="18" t="inlineStr">
        <is>
          <t>A shareholder meeting</t>
        </is>
      </c>
      <c r="G78" s="18" t="inlineStr">
        <is>
          <t>A product press conference</t>
        </is>
      </c>
      <c r="H78" s="18" t="inlineStr">
        <is>
          <t>An academic graduation</t>
        </is>
      </c>
      <c r="I78" s="18" t="inlineStr">
        <is>
          <t>A retirement celebration</t>
        </is>
      </c>
      <c r="J78" s="17" t="inlineStr">
        <is>
          <t>A</t>
        </is>
      </c>
      <c r="K78" s="19" t="inlineStr">
        <is>
          <t>📱 Q77번 풀기</t>
        </is>
      </c>
    </row>
    <row r="79">
      <c r="A79" s="20" t="inlineStr">
        <is>
          <t>Q78</t>
        </is>
      </c>
      <c r="B79" s="20" t="inlineStr">
        <is>
          <t>Part 4</t>
        </is>
      </c>
      <c r="C79" s="21" t="inlineStr">
        <is>
          <t>Short Talks (Annual General Meeting Address)</t>
        </is>
      </c>
      <c r="D79" s="21" t="inlineStr">
        <is>
          <t>What milestone is highlighted by the speaker?</t>
        </is>
      </c>
      <c r="E79" s="21" t="inlineStr">
        <is>
          <t>[귀로만 듣고 푸는 실전 리스닝 문항]</t>
        </is>
      </c>
      <c r="F79" s="21" t="inlineStr">
        <is>
          <t>Winning a government research grant</t>
        </is>
      </c>
      <c r="G79" s="21" t="inlineStr">
        <is>
          <t>Reaching record-high revenues of $320 million</t>
        </is>
      </c>
      <c r="H79" s="21" t="inlineStr">
        <is>
          <t>Acquiring a competitor firm</t>
        </is>
      </c>
      <c r="I79" s="21" t="inlineStr">
        <is>
          <t>Launching a consumer mobile app</t>
        </is>
      </c>
      <c r="J79" s="20" t="inlineStr">
        <is>
          <t>B</t>
        </is>
      </c>
      <c r="K79" s="22" t="inlineStr">
        <is>
          <t>📱 Q78번 풀기</t>
        </is>
      </c>
    </row>
    <row r="80">
      <c r="A80" s="17" t="inlineStr">
        <is>
          <t>Q79</t>
        </is>
      </c>
      <c r="B80" s="17" t="inlineStr">
        <is>
          <t>Part 4</t>
        </is>
      </c>
      <c r="C80" s="18" t="inlineStr">
        <is>
          <t>Short Talks (Annual General Meeting Address)</t>
        </is>
      </c>
      <c r="D80" s="18" t="inlineStr">
        <is>
          <t>Who will speak next?</t>
        </is>
      </c>
      <c r="E80" s="18" t="inlineStr">
        <is>
          <t>[귀로만 듣고 푸는 실전 리스닝 문항]</t>
        </is>
      </c>
      <c r="F80" s="18" t="inlineStr">
        <is>
          <t>The Chief Technology Officer</t>
        </is>
      </c>
      <c r="G80" s="18" t="inlineStr">
        <is>
          <t>The Munich plant manager</t>
        </is>
      </c>
      <c r="H80" s="18" t="inlineStr">
        <is>
          <t>The Chief Financial Officer</t>
        </is>
      </c>
      <c r="I80" s="18" t="inlineStr">
        <is>
          <t>The board chairman</t>
        </is>
      </c>
      <c r="J80" s="17" t="inlineStr">
        <is>
          <t>C</t>
        </is>
      </c>
      <c r="K80" s="19" t="inlineStr">
        <is>
          <t>📱 Q79번 풀기</t>
        </is>
      </c>
    </row>
    <row r="81">
      <c r="A81" s="20" t="inlineStr">
        <is>
          <t>Q80</t>
        </is>
      </c>
      <c r="B81" s="20" t="inlineStr">
        <is>
          <t>Part 4</t>
        </is>
      </c>
      <c r="C81" s="21" t="inlineStr">
        <is>
          <t>Short Talks (Radio Traffic &amp; Weather Broadcast)</t>
        </is>
      </c>
      <c r="D81" s="21" t="inlineStr">
        <is>
          <t>What is causing the delay on Interstate 80?</t>
        </is>
      </c>
      <c r="E81" s="21" t="inlineStr">
        <is>
          <t>[귀로만 듣고 푸는 실전 리스닝 문항]</t>
        </is>
      </c>
      <c r="F81" s="21" t="inlineStr">
        <is>
          <t>Road resurfacing work</t>
        </is>
      </c>
      <c r="G81" s="21" t="inlineStr">
        <is>
          <t>An overturned freight truck</t>
        </is>
      </c>
      <c r="H81" s="21" t="inlineStr">
        <is>
          <t>A severe snowstorm</t>
        </is>
      </c>
      <c r="I81" s="21" t="inlineStr">
        <is>
          <t>A stalled passenger bus</t>
        </is>
      </c>
      <c r="J81" s="20" t="inlineStr">
        <is>
          <t>B</t>
        </is>
      </c>
      <c r="K81" s="22" t="inlineStr">
        <is>
          <t>📱 Q80번 풀기</t>
        </is>
      </c>
    </row>
    <row r="82">
      <c r="A82" s="17" t="inlineStr">
        <is>
          <t>Q81</t>
        </is>
      </c>
      <c r="B82" s="17" t="inlineStr">
        <is>
          <t>Part 4</t>
        </is>
      </c>
      <c r="C82" s="18" t="inlineStr">
        <is>
          <t>Short Talks (Radio Traffic &amp; Weather Broadcast)</t>
        </is>
      </c>
      <c r="D82" s="18" t="inlineStr">
        <is>
          <t>What alternate route is recommended?</t>
        </is>
      </c>
      <c r="E82" s="18" t="inlineStr">
        <is>
          <t>[귀로만 듣고 푸는 실전 리스닝 문항]</t>
        </is>
      </c>
      <c r="F82" s="18" t="inlineStr">
        <is>
          <t>Interstate 95</t>
        </is>
      </c>
      <c r="G82" s="18" t="inlineStr">
        <is>
          <t>Highway 10</t>
        </is>
      </c>
      <c r="H82" s="18" t="inlineStr">
        <is>
          <t>Route 22</t>
        </is>
      </c>
      <c r="I82" s="18" t="inlineStr">
        <is>
          <t>Lincoln Parkway</t>
        </is>
      </c>
      <c r="J82" s="17" t="inlineStr">
        <is>
          <t>C</t>
        </is>
      </c>
      <c r="K82" s="19" t="inlineStr">
        <is>
          <t>📱 Q81번 풀기</t>
        </is>
      </c>
    </row>
    <row r="83">
      <c r="A83" s="20" t="inlineStr">
        <is>
          <t>Q82</t>
        </is>
      </c>
      <c r="B83" s="20" t="inlineStr">
        <is>
          <t>Part 4</t>
        </is>
      </c>
      <c r="C83" s="21" t="inlineStr">
        <is>
          <t>Short Talks (Radio Traffic &amp; Weather Broadcast)</t>
        </is>
      </c>
      <c r="D83" s="21" t="inlineStr">
        <is>
          <t>What will the weather be like this afternoon?</t>
        </is>
      </c>
      <c r="E83" s="21" t="inlineStr">
        <is>
          <t>[귀로만 듣고 푸는 실전 리스닝 문항]</t>
        </is>
      </c>
      <c r="F83" s="21" t="inlineStr">
        <is>
          <t>Heavy thunderstorms</t>
        </is>
      </c>
      <c r="G83" s="21" t="inlineStr">
        <is>
          <t>Sunny with mild temperatures</t>
        </is>
      </c>
      <c r="H83" s="21" t="inlineStr">
        <is>
          <t>Dense freezing fog</t>
        </is>
      </c>
      <c r="I83" s="21" t="inlineStr">
        <is>
          <t>High winds and hail</t>
        </is>
      </c>
      <c r="J83" s="20" t="inlineStr">
        <is>
          <t>B</t>
        </is>
      </c>
      <c r="K83" s="22" t="inlineStr">
        <is>
          <t>📱 Q82번 풀기</t>
        </is>
      </c>
    </row>
    <row r="84">
      <c r="A84" s="17" t="inlineStr">
        <is>
          <t>Q83</t>
        </is>
      </c>
      <c r="B84" s="17" t="inlineStr">
        <is>
          <t>Part 4</t>
        </is>
      </c>
      <c r="C84" s="18" t="inlineStr">
        <is>
          <t>Short Talks (Keynote Speaker Introduction)</t>
        </is>
      </c>
      <c r="D84" s="18" t="inlineStr">
        <is>
          <t>Where is the speech taking place?</t>
        </is>
      </c>
      <c r="E84" s="18" t="inlineStr">
        <is>
          <t>[귀로만 듣고 푸는 실전 리스닝 문항]</t>
        </is>
      </c>
      <c r="F84" s="18" t="inlineStr">
        <is>
          <t>At a medical informatics conference</t>
        </is>
      </c>
      <c r="G84" s="18" t="inlineStr">
        <is>
          <t>At an art museum opening</t>
        </is>
      </c>
      <c r="H84" s="18" t="inlineStr">
        <is>
          <t>At a pharmaceutical factory</t>
        </is>
      </c>
      <c r="I84" s="18" t="inlineStr">
        <is>
          <t>At a city council debate</t>
        </is>
      </c>
      <c r="J84" s="17" t="inlineStr">
        <is>
          <t>A</t>
        </is>
      </c>
      <c r="K84" s="19" t="inlineStr">
        <is>
          <t>📱 Q83번 풀기</t>
        </is>
      </c>
    </row>
    <row r="85">
      <c r="A85" s="20" t="inlineStr">
        <is>
          <t>Q84</t>
        </is>
      </c>
      <c r="B85" s="20" t="inlineStr">
        <is>
          <t>Part 4</t>
        </is>
      </c>
      <c r="C85" s="21" t="inlineStr">
        <is>
          <t>Short Talks (Keynote Speaker Introduction)</t>
        </is>
      </c>
      <c r="D85" s="21" t="inlineStr">
        <is>
          <t>What is Dr. Mehta's area of expertise?</t>
        </is>
      </c>
      <c r="E85" s="21" t="inlineStr">
        <is>
          <t>[귀로만 듣고 푸는 실전 리스닝 문항]</t>
        </is>
      </c>
      <c r="F85" s="21" t="inlineStr">
        <is>
          <t>Hospital architecture design</t>
        </is>
      </c>
      <c r="G85" s="21" t="inlineStr">
        <is>
          <t>Artificial intelligence diagnostics</t>
        </is>
      </c>
      <c r="H85" s="21" t="inlineStr">
        <is>
          <t>Pharmaceutical retail pricing</t>
        </is>
      </c>
      <c r="I85" s="21" t="inlineStr">
        <is>
          <t>Pediatric nursing education</t>
        </is>
      </c>
      <c r="J85" s="20" t="inlineStr">
        <is>
          <t>B</t>
        </is>
      </c>
      <c r="K85" s="22" t="inlineStr">
        <is>
          <t>📱 Q84번 풀기</t>
        </is>
      </c>
    </row>
    <row r="86">
      <c r="A86" s="17" t="inlineStr">
        <is>
          <t>Q85</t>
        </is>
      </c>
      <c r="B86" s="17" t="inlineStr">
        <is>
          <t>Part 4</t>
        </is>
      </c>
      <c r="C86" s="18" t="inlineStr">
        <is>
          <t>Short Talks (Keynote Speaker Introduction)</t>
        </is>
      </c>
      <c r="D86" s="18" t="inlineStr">
        <is>
          <t>What is the topic of Dr. Mehta's presentation?</t>
        </is>
      </c>
      <c r="E86" s="18" t="inlineStr">
        <is>
          <t>[귀로만 듣고 푸는 실전 리스닝 문항]</t>
        </is>
      </c>
      <c r="F86" s="18" t="inlineStr">
        <is>
          <t>Reducing hospital operating costs</t>
        </is>
      </c>
      <c r="G86" s="18" t="inlineStr">
        <is>
          <t>Machine learning in cardiovascular disease detection</t>
        </is>
      </c>
      <c r="H86" s="18" t="inlineStr">
        <is>
          <t>Training medical interns in rural clinics</t>
        </is>
      </c>
      <c r="I86" s="18" t="inlineStr">
        <is>
          <t>Securing patent rights for surgical devices</t>
        </is>
      </c>
      <c r="J86" s="17" t="inlineStr">
        <is>
          <t>B</t>
        </is>
      </c>
      <c r="K86" s="19" t="inlineStr">
        <is>
          <t>📱 Q85번 풀기</t>
        </is>
      </c>
    </row>
    <row r="87">
      <c r="A87" s="20" t="inlineStr">
        <is>
          <t>Q86</t>
        </is>
      </c>
      <c r="B87" s="20" t="inlineStr">
        <is>
          <t>Part 4</t>
        </is>
      </c>
      <c r="C87" s="21" t="inlineStr">
        <is>
          <t>Short Talks (Factory Plant Tour Safety Briefing)</t>
        </is>
      </c>
      <c r="D87" s="21" t="inlineStr">
        <is>
          <t>Who is the intended audience for this talk?</t>
        </is>
      </c>
      <c r="E87" s="21" t="inlineStr">
        <is>
          <t>[귀로만 듣고 푸는 실전 리스닝 문항]</t>
        </is>
      </c>
      <c r="F87" s="21" t="inlineStr">
        <is>
          <t>New corporate executives</t>
        </is>
      </c>
      <c r="G87" s="21" t="inlineStr">
        <is>
          <t>Plant tour visitors</t>
        </is>
      </c>
      <c r="H87" s="21" t="inlineStr">
        <is>
          <t>Safety equipment salesmen</t>
        </is>
      </c>
      <c r="I87" s="21" t="inlineStr">
        <is>
          <t>Fire emergency inspectors</t>
        </is>
      </c>
      <c r="J87" s="20" t="inlineStr">
        <is>
          <t>B</t>
        </is>
      </c>
      <c r="K87" s="22" t="inlineStr">
        <is>
          <t>📱 Q86번 풀기</t>
        </is>
      </c>
    </row>
    <row r="88">
      <c r="A88" s="17" t="inlineStr">
        <is>
          <t>Q87</t>
        </is>
      </c>
      <c r="B88" s="17" t="inlineStr">
        <is>
          <t>Part 4</t>
        </is>
      </c>
      <c r="C88" s="18" t="inlineStr">
        <is>
          <t>Short Talks (Factory Plant Tour Safety Briefing)</t>
        </is>
      </c>
      <c r="D88" s="18" t="inlineStr">
        <is>
          <t>Where must visitors walk while on the factory floor?</t>
        </is>
      </c>
      <c r="E88" s="18" t="inlineStr">
        <is>
          <t>[귀로만 듣고 푸는 실전 리스닝 문항]</t>
        </is>
      </c>
      <c r="F88" s="18" t="inlineStr">
        <is>
          <t>Behind the transport carts</t>
        </is>
      </c>
      <c r="G88" s="18" t="inlineStr">
        <is>
          <t>Along the perimeter fence</t>
        </is>
      </c>
      <c r="H88" s="18" t="inlineStr">
        <is>
          <t>Within yellow-painted pedestrian walkways</t>
        </is>
      </c>
      <c r="I88" s="18" t="inlineStr">
        <is>
          <t>Next to the robotic welders</t>
        </is>
      </c>
      <c r="J88" s="17" t="inlineStr">
        <is>
          <t>C</t>
        </is>
      </c>
      <c r="K88" s="19" t="inlineStr">
        <is>
          <t>📱 Q87번 풀기</t>
        </is>
      </c>
    </row>
    <row r="89">
      <c r="A89" s="20" t="inlineStr">
        <is>
          <t>Q88</t>
        </is>
      </c>
      <c r="B89" s="20" t="inlineStr">
        <is>
          <t>Part 4</t>
        </is>
      </c>
      <c r="C89" s="21" t="inlineStr">
        <is>
          <t>Short Talks (Factory Plant Tour Safety Briefing)</t>
        </is>
      </c>
      <c r="D89" s="21" t="inlineStr">
        <is>
          <t>Why is photography forbidden?</t>
        </is>
      </c>
      <c r="E89" s="21" t="inlineStr">
        <is>
          <t>[귀로만 듣고 푸는 실전 리스닝 문항]</t>
        </is>
      </c>
      <c r="F89" s="21" t="inlineStr">
        <is>
          <t>To prevent flashes from distracting workers</t>
        </is>
      </c>
      <c r="G89" s="21" t="inlineStr">
        <is>
          <t>To protect proprietary manufacturing technology</t>
        </is>
      </c>
      <c r="H89" s="21" t="inlineStr">
        <is>
          <t>To comply with national media copyright law</t>
        </is>
      </c>
      <c r="I89" s="21" t="inlineStr">
        <is>
          <t>To avoid damaging camera equipment</t>
        </is>
      </c>
      <c r="J89" s="20" t="inlineStr">
        <is>
          <t>B</t>
        </is>
      </c>
      <c r="K89" s="22" t="inlineStr">
        <is>
          <t>📱 Q88번 풀기</t>
        </is>
      </c>
    </row>
    <row r="90">
      <c r="A90" s="17" t="inlineStr">
        <is>
          <t>Q89</t>
        </is>
      </c>
      <c r="B90" s="17" t="inlineStr">
        <is>
          <t>Part 4</t>
        </is>
      </c>
      <c r="C90" s="18" t="inlineStr">
        <is>
          <t>Short Talks (Museum Exhibition Announcement)</t>
        </is>
      </c>
      <c r="D90" s="18" t="inlineStr">
        <is>
          <t>What is the title of the special exhibition?</t>
        </is>
      </c>
      <c r="E90" s="18" t="inlineStr">
        <is>
          <t>[귀로만 듣고 푸는 실전 리스닝 문항]</t>
        </is>
      </c>
      <c r="F90" s="18" t="inlineStr">
        <is>
          <t>Masterpieces of the Renaissance</t>
        </is>
      </c>
      <c r="G90" s="18" t="inlineStr">
        <is>
          <t>Visions of the Metropolis</t>
        </is>
      </c>
      <c r="H90" s="18" t="inlineStr">
        <is>
          <t>Sculptures of Ancient Rome</t>
        </is>
      </c>
      <c r="I90" s="18" t="inlineStr">
        <is>
          <t>Abstract Landscapes of Asia</t>
        </is>
      </c>
      <c r="J90" s="17" t="inlineStr">
        <is>
          <t>B</t>
        </is>
      </c>
      <c r="K90" s="19" t="inlineStr">
        <is>
          <t>📱 Q89번 풀기</t>
        </is>
      </c>
    </row>
    <row r="91">
      <c r="A91" s="20" t="inlineStr">
        <is>
          <t>Q90</t>
        </is>
      </c>
      <c r="B91" s="20" t="inlineStr">
        <is>
          <t>Part 4</t>
        </is>
      </c>
      <c r="C91" s="21" t="inlineStr">
        <is>
          <t>Short Talks (Museum Exhibition Announcement)</t>
        </is>
      </c>
      <c r="D91" s="21" t="inlineStr">
        <is>
          <t>How much does the audio tour headset cost?</t>
        </is>
      </c>
      <c r="E91" s="21" t="inlineStr">
        <is>
          <t>[귀로만 듣고 푸는 실전 리스닝 문항]</t>
        </is>
      </c>
      <c r="F91" s="21" t="inlineStr">
        <is>
          <t>Free of charge</t>
        </is>
      </c>
      <c r="G91" s="21" t="inlineStr">
        <is>
          <t>Three dollars</t>
        </is>
      </c>
      <c r="H91" s="21" t="inlineStr">
        <is>
          <t>Five dollars</t>
        </is>
      </c>
      <c r="I91" s="21" t="inlineStr">
        <is>
          <t>Ten dollars</t>
        </is>
      </c>
      <c r="J91" s="20" t="inlineStr">
        <is>
          <t>C</t>
        </is>
      </c>
      <c r="K91" s="22" t="inlineStr">
        <is>
          <t>📱 Q90번 풀기</t>
        </is>
      </c>
    </row>
    <row r="92">
      <c r="A92" s="17" t="inlineStr">
        <is>
          <t>Q91</t>
        </is>
      </c>
      <c r="B92" s="17" t="inlineStr">
        <is>
          <t>Part 4</t>
        </is>
      </c>
      <c r="C92" s="18" t="inlineStr">
        <is>
          <t>Short Talks (Museum Exhibition Announcement)</t>
        </is>
      </c>
      <c r="D92" s="18" t="inlineStr">
        <is>
          <t>Why will the cafeteria close early today?</t>
        </is>
      </c>
      <c r="E92" s="18" t="inlineStr">
        <is>
          <t>[귀로만 듣고 푸는 실전 리스닝 문항]</t>
        </is>
      </c>
      <c r="F92" s="18" t="inlineStr">
        <is>
          <t>For kitchen sanitation</t>
        </is>
      </c>
      <c r="G92" s="18" t="inlineStr">
        <is>
          <t>For a private fundraising event</t>
        </is>
      </c>
      <c r="H92" s="18" t="inlineStr">
        <is>
          <t>Due to an electrical outage</t>
        </is>
      </c>
      <c r="I92" s="18" t="inlineStr">
        <is>
          <t>Because of a staff shortage</t>
        </is>
      </c>
      <c r="J92" s="17" t="inlineStr">
        <is>
          <t>B</t>
        </is>
      </c>
      <c r="K92" s="19" t="inlineStr">
        <is>
          <t>📱 Q91번 풀기</t>
        </is>
      </c>
    </row>
    <row r="93">
      <c r="A93" s="20" t="inlineStr">
        <is>
          <t>Q92</t>
        </is>
      </c>
      <c r="B93" s="20" t="inlineStr">
        <is>
          <t>Part 4</t>
        </is>
      </c>
      <c r="C93" s="21" t="inlineStr">
        <is>
          <t>Short Talks (Airport Departure Gate Relocation)</t>
        </is>
      </c>
      <c r="D93" s="21" t="inlineStr">
        <is>
          <t>What change is being announced?</t>
        </is>
      </c>
      <c r="E93" s="21" t="inlineStr">
        <is>
          <t>[귀로만 듣고 푸는 실전 리스닝 문항]</t>
        </is>
      </c>
      <c r="F93" s="21" t="inlineStr">
        <is>
          <t>A flight cancellation</t>
        </is>
      </c>
      <c r="G93" s="21" t="inlineStr">
        <is>
          <t>A departure gate relocation</t>
        </is>
      </c>
      <c r="H93" s="21" t="inlineStr">
        <is>
          <t>A meal voucher distribution</t>
        </is>
      </c>
      <c r="I93" s="21" t="inlineStr">
        <is>
          <t>A destination change</t>
        </is>
      </c>
      <c r="J93" s="20" t="inlineStr">
        <is>
          <t>B</t>
        </is>
      </c>
      <c r="K93" s="22" t="inlineStr">
        <is>
          <t>📱 Q92번 풀기</t>
        </is>
      </c>
    </row>
    <row r="94">
      <c r="A94" s="17" t="inlineStr">
        <is>
          <t>Q93</t>
        </is>
      </c>
      <c r="B94" s="17" t="inlineStr">
        <is>
          <t>Part 4</t>
        </is>
      </c>
      <c r="C94" s="18" t="inlineStr">
        <is>
          <t>Short Talks (Airport Departure Gate Relocation)</t>
        </is>
      </c>
      <c r="D94" s="18" t="inlineStr">
        <is>
          <t>What is the flight's destination?</t>
        </is>
      </c>
      <c r="E94" s="18" t="inlineStr">
        <is>
          <t>[귀로만 듣고 푸는 실전 리스닝 문항]</t>
        </is>
      </c>
      <c r="F94" s="18" t="inlineStr">
        <is>
          <t>Seattle</t>
        </is>
      </c>
      <c r="G94" s="18" t="inlineStr">
        <is>
          <t>Tokyo</t>
        </is>
      </c>
      <c r="H94" s="18" t="inlineStr">
        <is>
          <t>Vancouver</t>
        </is>
      </c>
      <c r="I94" s="18" t="inlineStr">
        <is>
          <t>Honolulu</t>
        </is>
      </c>
      <c r="J94" s="17" t="inlineStr">
        <is>
          <t>C</t>
        </is>
      </c>
      <c r="K94" s="19" t="inlineStr">
        <is>
          <t>📱 Q93번 풀기</t>
        </is>
      </c>
    </row>
    <row r="95">
      <c r="A95" s="20" t="inlineStr">
        <is>
          <t>Q94</t>
        </is>
      </c>
      <c r="B95" s="20" t="inlineStr">
        <is>
          <t>Part 4</t>
        </is>
      </c>
      <c r="C95" s="21" t="inlineStr">
        <is>
          <t>Short Talks (Airport Departure Gate Relocation)</t>
        </is>
      </c>
      <c r="D95" s="21" t="inlineStr">
        <is>
          <t>Who is asked to report to Gate C28 immediately?</t>
        </is>
      </c>
      <c r="E95" s="21" t="inlineStr">
        <is>
          <t>[귀로만 듣고 푸는 실전 리스닝 문항]</t>
        </is>
      </c>
      <c r="F95" s="21" t="inlineStr">
        <is>
          <t>Passengers needing wheelchair assistance</t>
        </is>
      </c>
      <c r="G95" s="21" t="inlineStr">
        <is>
          <t>Passengers with oversized luggage</t>
        </is>
      </c>
      <c r="H95" s="21" t="inlineStr">
        <is>
          <t>Standby ticket holders</t>
        </is>
      </c>
      <c r="I95" s="21" t="inlineStr">
        <is>
          <t>Duty-free shoppers</t>
        </is>
      </c>
      <c r="J95" s="20" t="inlineStr">
        <is>
          <t>A</t>
        </is>
      </c>
      <c r="K95" s="22" t="inlineStr">
        <is>
          <t>📱 Q94번 풀기</t>
        </is>
      </c>
    </row>
    <row r="96">
      <c r="A96" s="17" t="inlineStr">
        <is>
          <t>Q95</t>
        </is>
      </c>
      <c r="B96" s="17" t="inlineStr">
        <is>
          <t>Part 4</t>
        </is>
      </c>
      <c r="C96" s="18" t="inlineStr">
        <is>
          <t>Short Talks (Fitness Center Promotional Advertisement)</t>
        </is>
      </c>
      <c r="D96" s="18" t="inlineStr">
        <is>
          <t>What business is being advertised?</t>
        </is>
      </c>
      <c r="E96" s="18" t="inlineStr">
        <is>
          <t>[귀로만 듣고 푸는 실전 리스닝 문항]</t>
        </is>
      </c>
      <c r="F96" s="18" t="inlineStr">
        <is>
          <t>A sports equipment store</t>
        </is>
      </c>
      <c r="G96" s="18" t="inlineStr">
        <is>
          <t>A fitness and wellness center</t>
        </is>
      </c>
      <c r="H96" s="18" t="inlineStr">
        <is>
          <t>A healthy meal delivery service</t>
        </is>
      </c>
      <c r="I96" s="18" t="inlineStr">
        <is>
          <t>A physical therapy clinic</t>
        </is>
      </c>
      <c r="J96" s="17" t="inlineStr">
        <is>
          <t>B</t>
        </is>
      </c>
      <c r="K96" s="19" t="inlineStr">
        <is>
          <t>📱 Q95번 풀기</t>
        </is>
      </c>
    </row>
    <row r="97">
      <c r="A97" s="20" t="inlineStr">
        <is>
          <t>Q96</t>
        </is>
      </c>
      <c r="B97" s="20" t="inlineStr">
        <is>
          <t>Part 4</t>
        </is>
      </c>
      <c r="C97" s="21" t="inlineStr">
        <is>
          <t>Short Talks (Fitness Center Promotional Advertisement)</t>
        </is>
      </c>
      <c r="D97" s="21" t="inlineStr">
        <is>
          <t>What special promotion is offered for new 12-month memberships?</t>
        </is>
      </c>
      <c r="E97" s="21" t="inlineStr">
        <is>
          <t>[귀로만 듣고 푸는 실전 리스닝 문항]</t>
        </is>
      </c>
      <c r="F97" s="21" t="inlineStr">
        <is>
          <t>A free gym duffel bag</t>
        </is>
      </c>
      <c r="G97" s="21" t="inlineStr">
        <is>
          <t>Waived registration fee and a nutrition consultation</t>
        </is>
      </c>
      <c r="H97" s="21" t="inlineStr">
        <is>
          <t>A 50% discount on monthly dues</t>
        </is>
      </c>
      <c r="I97" s="21" t="inlineStr">
        <is>
          <t>Two free personal training sessions each week</t>
        </is>
      </c>
      <c r="J97" s="20" t="inlineStr">
        <is>
          <t>B</t>
        </is>
      </c>
      <c r="K97" s="22" t="inlineStr">
        <is>
          <t>📱 Q96번 풀기</t>
        </is>
      </c>
    </row>
    <row r="98">
      <c r="A98" s="17" t="inlineStr">
        <is>
          <t>Q97</t>
        </is>
      </c>
      <c r="B98" s="17" t="inlineStr">
        <is>
          <t>Part 4</t>
        </is>
      </c>
      <c r="C98" s="18" t="inlineStr">
        <is>
          <t>Short Talks (Fitness Center Promotional Advertisement)</t>
        </is>
      </c>
      <c r="D98" s="18" t="inlineStr">
        <is>
          <t>How can listeners obtain a three-day trial pass?</t>
        </is>
      </c>
      <c r="E98" s="18" t="inlineStr">
        <is>
          <t>[귀로만 듣고 푸는 실전 리스닝 문항]</t>
        </is>
      </c>
      <c r="F98" s="18" t="inlineStr">
        <is>
          <t>By visiting the website PulseFitness.com</t>
        </is>
      </c>
      <c r="G98" s="18" t="inlineStr">
        <is>
          <t>By calling a toll-free number</t>
        </is>
      </c>
      <c r="H98" s="18" t="inlineStr">
        <is>
          <t>By presenting a coupon at the front desk</t>
        </is>
      </c>
      <c r="I98" s="18" t="inlineStr">
        <is>
          <t>By attending an open house on Saturday</t>
        </is>
      </c>
      <c r="J98" s="17" t="inlineStr">
        <is>
          <t>A</t>
        </is>
      </c>
      <c r="K98" s="19" t="inlineStr">
        <is>
          <t>📱 Q97번 풀기</t>
        </is>
      </c>
    </row>
    <row r="99">
      <c r="A99" s="20" t="inlineStr">
        <is>
          <t>Q98</t>
        </is>
      </c>
      <c r="B99" s="20" t="inlineStr">
        <is>
          <t>Part 4</t>
        </is>
      </c>
      <c r="C99" s="21" t="inlineStr">
        <is>
          <t>Short Talks (Retail Store Closing Announcement)</t>
        </is>
      </c>
      <c r="D99" s="21" t="inlineStr">
        <is>
          <t>What type of store is the speaker announcing for?</t>
        </is>
      </c>
      <c r="E99" s="21" t="inlineStr">
        <is>
          <t>[귀로만 듣고 푸는 실전 리스닝 문항]</t>
        </is>
      </c>
      <c r="F99" s="21" t="inlineStr">
        <is>
          <t>A grocery supermarket</t>
        </is>
      </c>
      <c r="G99" s="21" t="inlineStr">
        <is>
          <t>A home furnishings store</t>
        </is>
      </c>
      <c r="H99" s="21" t="inlineStr">
        <is>
          <t>A bookstore</t>
        </is>
      </c>
      <c r="I99" s="21" t="inlineStr">
        <is>
          <t>A shoe retailer</t>
        </is>
      </c>
      <c r="J99" s="20" t="inlineStr">
        <is>
          <t>B</t>
        </is>
      </c>
      <c r="K99" s="22" t="inlineStr">
        <is>
          <t>📱 Q98번 풀기</t>
        </is>
      </c>
    </row>
    <row r="100">
      <c r="A100" s="17" t="inlineStr">
        <is>
          <t>Q99</t>
        </is>
      </c>
      <c r="B100" s="17" t="inlineStr">
        <is>
          <t>Part 4</t>
        </is>
      </c>
      <c r="C100" s="18" t="inlineStr">
        <is>
          <t>Short Talks (Retail Store Closing Announcement)</t>
        </is>
      </c>
      <c r="D100" s="18" t="inlineStr">
        <is>
          <t>Where should customers go to arrange home delivery?</t>
        </is>
      </c>
      <c r="E100" s="18" t="inlineStr">
        <is>
          <t>[귀로만 듣고 푸는 실전 리스닝 문항]</t>
        </is>
      </c>
      <c r="F100" s="18" t="inlineStr">
        <is>
          <t>The main parking lot</t>
        </is>
      </c>
      <c r="G100" s="18" t="inlineStr">
        <is>
          <t>The customer care desk near the south exit</t>
        </is>
      </c>
      <c r="H100" s="18" t="inlineStr">
        <is>
          <t>The second-floor stockroom</t>
        </is>
      </c>
      <c r="I100" s="18" t="inlineStr">
        <is>
          <t>The manager's office</t>
        </is>
      </c>
      <c r="J100" s="17" t="inlineStr">
        <is>
          <t>B</t>
        </is>
      </c>
      <c r="K100" s="19" t="inlineStr">
        <is>
          <t>📱 Q99번 풀기</t>
        </is>
      </c>
    </row>
    <row r="101">
      <c r="A101" s="20" t="inlineStr">
        <is>
          <t>Q100</t>
        </is>
      </c>
      <c r="B101" s="20" t="inlineStr">
        <is>
          <t>Part 4</t>
        </is>
      </c>
      <c r="C101" s="21" t="inlineStr">
        <is>
          <t>Short Talks (Retail Store Closing Announcement)</t>
        </is>
      </c>
      <c r="D101" s="21" t="inlineStr">
        <is>
          <t>What will take place tomorrow at 9:00 A.M.?</t>
        </is>
      </c>
      <c r="E101" s="21" t="inlineStr">
        <is>
          <t>[귀로만 듣고 푸는 실전 리스닝 문항]</t>
        </is>
      </c>
      <c r="F101" s="21" t="inlineStr">
        <is>
          <t>A job recruitment fair</t>
        </is>
      </c>
      <c r="G101" s="21" t="inlineStr">
        <is>
          <t>A semi-annual clearance sale</t>
        </is>
      </c>
      <c r="H101" s="21" t="inlineStr">
        <is>
          <t>An interior design workshop</t>
        </is>
      </c>
      <c r="I101" s="21" t="inlineStr">
        <is>
          <t>A charity raffle draw</t>
        </is>
      </c>
      <c r="J101" s="20" t="inlineStr">
        <is>
          <t>B</t>
        </is>
      </c>
      <c r="K101" s="22" t="inlineStr">
        <is>
          <t>📱 Q100번 풀기</t>
        </is>
      </c>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1"/>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25" customWidth="1" min="3" max="3"/>
    <col width="42" customWidth="1" min="4" max="4"/>
    <col width="45" customWidth="1" min="5" max="5"/>
    <col width="22" customWidth="1" min="6" max="6"/>
    <col width="22" customWidth="1" min="7" max="7"/>
    <col width="22" customWidth="1" min="8" max="8"/>
    <col width="22" customWidth="1" min="9" max="9"/>
    <col width="10" customWidth="1" min="10" max="10"/>
    <col width="28" customWidth="1" min="11" max="11"/>
  </cols>
  <sheetData>
    <row r="1" ht="32" customHeight="1">
      <c r="A1" s="8" t="inlineStr">
        <is>
          <t>문항 번호</t>
        </is>
      </c>
      <c r="B1" s="8" t="inlineStr">
        <is>
          <t>파트 구분</t>
        </is>
      </c>
      <c r="C1" s="8" t="inlineStr">
        <is>
          <t>출제 카테고리</t>
        </is>
      </c>
      <c r="D1" s="8" t="inlineStr">
        <is>
          <t>문제 문장 / 질문 (Question)</t>
        </is>
      </c>
      <c r="E1" s="8" t="inlineStr">
        <is>
          <t>독해 본문 지문 (Passage)</t>
        </is>
      </c>
      <c r="F1" s="8" t="inlineStr">
        <is>
          <t>보기 (A)</t>
        </is>
      </c>
      <c r="G1" s="8" t="inlineStr">
        <is>
          <t>보기 (B)</t>
        </is>
      </c>
      <c r="H1" s="8" t="inlineStr">
        <is>
          <t>보기 (C)</t>
        </is>
      </c>
      <c r="I1" s="8" t="inlineStr">
        <is>
          <t>보기 (D)</t>
        </is>
      </c>
      <c r="J1" s="8" t="inlineStr">
        <is>
          <t>정답</t>
        </is>
      </c>
      <c r="K1" s="8" t="inlineStr">
        <is>
          <t>실전 CBT 풀기 (링크)</t>
        </is>
      </c>
    </row>
    <row r="2" ht="52" customHeight="1">
      <c r="A2" s="17" t="inlineStr">
        <is>
          <t>Q101</t>
        </is>
      </c>
      <c r="B2" s="17" t="inlineStr">
        <is>
          <t>Part 5</t>
        </is>
      </c>
      <c r="C2" s="18" t="inlineStr">
        <is>
          <t>Grammar (동사 수식 부사 자리)</t>
        </is>
      </c>
      <c r="D2" s="18" t="inlineStr">
        <is>
          <t>All team supervisors must review the revised quarterly financial statement ------- before submitting it to the executive board.</t>
        </is>
      </c>
      <c r="E2" s="18" t="inlineStr">
        <is>
          <t>N/A</t>
        </is>
      </c>
      <c r="F2" s="18" t="inlineStr">
        <is>
          <t>thorough</t>
        </is>
      </c>
      <c r="G2" s="18" t="inlineStr">
        <is>
          <t>thoroughly</t>
        </is>
      </c>
      <c r="H2" s="18" t="inlineStr">
        <is>
          <t>thoroughness</t>
        </is>
      </c>
      <c r="I2" s="18" t="inlineStr">
        <is>
          <t>more thorough</t>
        </is>
      </c>
      <c r="J2" s="17" t="inlineStr">
        <is>
          <t>B</t>
        </is>
      </c>
      <c r="K2" s="19" t="inlineStr">
        <is>
          <t>📱 Q101번 풀기</t>
        </is>
      </c>
    </row>
    <row r="3" ht="52" customHeight="1">
      <c r="A3" s="20" t="inlineStr">
        <is>
          <t>Q102</t>
        </is>
      </c>
      <c r="B3" s="20" t="inlineStr">
        <is>
          <t>Part 5</t>
        </is>
      </c>
      <c r="C3" s="21" t="inlineStr">
        <is>
          <t>Grammar (전치사 vs 접속사 구별)</t>
        </is>
      </c>
      <c r="D3" s="21" t="inlineStr">
        <is>
          <t>------- the unprecedented rise in overseas shipping fees, NEXIS Global managed to achieve record-high quarterly revenue.</t>
        </is>
      </c>
      <c r="E3" s="21" t="inlineStr">
        <is>
          <t>N/A</t>
        </is>
      </c>
      <c r="F3" s="21" t="inlineStr">
        <is>
          <t>Despite</t>
        </is>
      </c>
      <c r="G3" s="21" t="inlineStr">
        <is>
          <t>Although</t>
        </is>
      </c>
      <c r="H3" s="21" t="inlineStr">
        <is>
          <t>Furthermore</t>
        </is>
      </c>
      <c r="I3" s="21" t="inlineStr">
        <is>
          <t>Because</t>
        </is>
      </c>
      <c r="J3" s="20" t="inlineStr">
        <is>
          <t>A</t>
        </is>
      </c>
      <c r="K3" s="22" t="inlineStr">
        <is>
          <t>📱 Q102번 풀기</t>
        </is>
      </c>
    </row>
    <row r="4" ht="52" customHeight="1">
      <c r="A4" s="17" t="inlineStr">
        <is>
          <t>Q103</t>
        </is>
      </c>
      <c r="B4" s="17" t="inlineStr">
        <is>
          <t>Part 5</t>
        </is>
      </c>
      <c r="C4" s="18" t="inlineStr">
        <is>
          <t>Vocabulary (자동사 + 전치사 연어 족보)</t>
        </is>
      </c>
      <c r="D4" s="18" t="inlineStr">
        <is>
          <t>All factory employees are strictly mandated to ------- with the industrial safety regulations established by the government.</t>
        </is>
      </c>
      <c r="E4" s="18" t="inlineStr">
        <is>
          <t>N/A</t>
        </is>
      </c>
      <c r="F4" s="18" t="inlineStr">
        <is>
          <t>comply</t>
        </is>
      </c>
      <c r="G4" s="18" t="inlineStr">
        <is>
          <t>adhere</t>
        </is>
      </c>
      <c r="H4" s="18" t="inlineStr">
        <is>
          <t>observe</t>
        </is>
      </c>
      <c r="I4" s="18" t="inlineStr">
        <is>
          <t>fulfill</t>
        </is>
      </c>
      <c r="J4" s="17" t="inlineStr">
        <is>
          <t>A</t>
        </is>
      </c>
      <c r="K4" s="19" t="inlineStr">
        <is>
          <t>📱 Q103번 풀기</t>
        </is>
      </c>
    </row>
    <row r="5" ht="52" customHeight="1">
      <c r="A5" s="20" t="inlineStr">
        <is>
          <t>Q104</t>
        </is>
      </c>
      <c r="B5" s="20" t="inlineStr">
        <is>
          <t>Part 5</t>
        </is>
      </c>
      <c r="C5" s="21" t="inlineStr">
        <is>
          <t>Grammar (주어-동사 수일치 &amp; 능동/수동)</t>
        </is>
      </c>
      <c r="D5" s="21" t="inlineStr">
        <is>
          <t>The newly published handbook for international clients ------- extensive guidelines on overseas taxation policies.</t>
        </is>
      </c>
      <c r="E5" s="21" t="inlineStr">
        <is>
          <t>N/A</t>
        </is>
      </c>
      <c r="F5" s="21" t="inlineStr">
        <is>
          <t>contains</t>
        </is>
      </c>
      <c r="G5" s="21" t="inlineStr">
        <is>
          <t>containing</t>
        </is>
      </c>
      <c r="H5" s="21" t="inlineStr">
        <is>
          <t>contain</t>
        </is>
      </c>
      <c r="I5" s="21" t="inlineStr">
        <is>
          <t>is contained</t>
        </is>
      </c>
      <c r="J5" s="20" t="inlineStr">
        <is>
          <t>A</t>
        </is>
      </c>
      <c r="K5" s="22" t="inlineStr">
        <is>
          <t>📱 Q104번 풀기</t>
        </is>
      </c>
    </row>
    <row r="6" ht="52" customHeight="1">
      <c r="A6" s="17" t="inlineStr">
        <is>
          <t>Q105</t>
        </is>
      </c>
      <c r="B6" s="17" t="inlineStr">
        <is>
          <t>Part 5</t>
        </is>
      </c>
      <c r="C6" s="18" t="inlineStr">
        <is>
          <t>Vocabulary (형용사 + 명사 연어)</t>
        </is>
      </c>
      <c r="D6" s="18" t="inlineStr">
        <is>
          <t>Ms. Gomez demonstrated ------- leadership during the company's recent operational restructuring.</t>
        </is>
      </c>
      <c r="E6" s="18" t="inlineStr">
        <is>
          <t>N/A</t>
        </is>
      </c>
      <c r="F6" s="18" t="inlineStr">
        <is>
          <t>exceptional</t>
        </is>
      </c>
      <c r="G6" s="18" t="inlineStr">
        <is>
          <t>exceptionally</t>
        </is>
      </c>
      <c r="H6" s="18" t="inlineStr">
        <is>
          <t>exception</t>
        </is>
      </c>
      <c r="I6" s="18" t="inlineStr">
        <is>
          <t>except</t>
        </is>
      </c>
      <c r="J6" s="17" t="inlineStr">
        <is>
          <t>A</t>
        </is>
      </c>
      <c r="K6" s="19" t="inlineStr">
        <is>
          <t>📱 Q105번 풀기</t>
        </is>
      </c>
    </row>
    <row r="7" ht="52" customHeight="1">
      <c r="A7" s="20" t="inlineStr">
        <is>
          <t>Q106</t>
        </is>
      </c>
      <c r="B7" s="20" t="inlineStr">
        <is>
          <t>Part 5</t>
        </is>
      </c>
      <c r="C7" s="21" t="inlineStr">
        <is>
          <t>Grammar (명사절 접속사 whether A or B)</t>
        </is>
      </c>
      <c r="D7" s="21" t="inlineStr">
        <is>
          <t>The senior project director hasn't decided ------- the annual marketing symposium will be hosted in Chicago or Atlanta.</t>
        </is>
      </c>
      <c r="E7" s="21" t="inlineStr">
        <is>
          <t>N/A</t>
        </is>
      </c>
      <c r="F7" s="21" t="inlineStr">
        <is>
          <t>whether</t>
        </is>
      </c>
      <c r="G7" s="21" t="inlineStr">
        <is>
          <t>that</t>
        </is>
      </c>
      <c r="H7" s="21" t="inlineStr">
        <is>
          <t>which</t>
        </is>
      </c>
      <c r="I7" s="21" t="inlineStr">
        <is>
          <t>what</t>
        </is>
      </c>
      <c r="J7" s="20" t="inlineStr">
        <is>
          <t>A</t>
        </is>
      </c>
      <c r="K7" s="22" t="inlineStr">
        <is>
          <t>📱 Q106번 풀기</t>
        </is>
      </c>
    </row>
    <row r="8" ht="52" customHeight="1">
      <c r="A8" s="17" t="inlineStr">
        <is>
          <t>Q107</t>
        </is>
      </c>
      <c r="B8" s="17" t="inlineStr">
        <is>
          <t>Part 5</t>
        </is>
      </c>
      <c r="C8" s="18" t="inlineStr">
        <is>
          <t>Grammar (재귀대명사 강조 용법)</t>
        </is>
      </c>
      <c r="D8" s="18" t="inlineStr">
        <is>
          <t>Because Mr. Henderson was unavailable, the CEO attended the international trade gala ------- to accept the award.</t>
        </is>
      </c>
      <c r="E8" s="18" t="inlineStr">
        <is>
          <t>N/A</t>
        </is>
      </c>
      <c r="F8" s="18" t="inlineStr">
        <is>
          <t>himself</t>
        </is>
      </c>
      <c r="G8" s="18" t="inlineStr">
        <is>
          <t>him</t>
        </is>
      </c>
      <c r="H8" s="18" t="inlineStr">
        <is>
          <t>his</t>
        </is>
      </c>
      <c r="I8" s="18" t="inlineStr">
        <is>
          <t>he</t>
        </is>
      </c>
      <c r="J8" s="17" t="inlineStr">
        <is>
          <t>A</t>
        </is>
      </c>
      <c r="K8" s="19" t="inlineStr">
        <is>
          <t>📱 Q107번 풀기</t>
        </is>
      </c>
    </row>
    <row r="9" ht="52" customHeight="1">
      <c r="A9" s="20" t="inlineStr">
        <is>
          <t>Q108</t>
        </is>
      </c>
      <c r="B9" s="20" t="inlineStr">
        <is>
          <t>Part 5</t>
        </is>
      </c>
      <c r="C9" s="21" t="inlineStr">
        <is>
          <t>Vocabulary (빈출 부사 어휘)</t>
        </is>
      </c>
      <c r="D9" s="21" t="inlineStr">
        <is>
          <t>Due to scheduled track maintenance, regional passenger trains will run less ------- between Philadelphia and Baltimore.</t>
        </is>
      </c>
      <c r="E9" s="21" t="inlineStr">
        <is>
          <t>N/A</t>
        </is>
      </c>
      <c r="F9" s="21" t="inlineStr">
        <is>
          <t>frequently</t>
        </is>
      </c>
      <c r="G9" s="21" t="inlineStr">
        <is>
          <t>hardly</t>
        </is>
      </c>
      <c r="H9" s="21" t="inlineStr">
        <is>
          <t>closely</t>
        </is>
      </c>
      <c r="I9" s="21" t="inlineStr">
        <is>
          <t>shortly</t>
        </is>
      </c>
      <c r="J9" s="20" t="inlineStr">
        <is>
          <t>A</t>
        </is>
      </c>
      <c r="K9" s="22" t="inlineStr">
        <is>
          <t>📱 Q108번 풀기</t>
        </is>
      </c>
    </row>
    <row r="10" ht="52" customHeight="1">
      <c r="A10" s="17" t="inlineStr">
        <is>
          <t>Q109</t>
        </is>
      </c>
      <c r="B10" s="17" t="inlineStr">
        <is>
          <t>Part 5</t>
        </is>
      </c>
      <c r="C10" s="18" t="inlineStr">
        <is>
          <t>Grammar (분사 형용사 능동 vs 수동)</t>
        </is>
      </c>
      <c r="D10" s="18" t="inlineStr">
        <is>
          <t>Enclosed is the ------- estimate for the proposed corporate office renovation project.</t>
        </is>
      </c>
      <c r="E10" s="18" t="inlineStr">
        <is>
          <t>N/A</t>
        </is>
      </c>
      <c r="F10" s="18" t="inlineStr">
        <is>
          <t>revised</t>
        </is>
      </c>
      <c r="G10" s="18" t="inlineStr">
        <is>
          <t>revising</t>
        </is>
      </c>
      <c r="H10" s="18" t="inlineStr">
        <is>
          <t>revise</t>
        </is>
      </c>
      <c r="I10" s="18" t="inlineStr">
        <is>
          <t>revision</t>
        </is>
      </c>
      <c r="J10" s="17" t="inlineStr">
        <is>
          <t>A</t>
        </is>
      </c>
      <c r="K10" s="19" t="inlineStr">
        <is>
          <t>📱 Q109번 풀기</t>
        </is>
      </c>
    </row>
    <row r="11" ht="52" customHeight="1">
      <c r="A11" s="20" t="inlineStr">
        <is>
          <t>Q110</t>
        </is>
      </c>
      <c r="B11" s="20" t="inlineStr">
        <is>
          <t>Part 5</t>
        </is>
      </c>
      <c r="C11" s="21" t="inlineStr">
        <is>
          <t>★킬러 (도치/가정법 If 생략)</t>
        </is>
      </c>
      <c r="D11" s="21" t="inlineStr">
        <is>
          <t>------- you encounter any technical difficulties during the online assessment, please immediately contact our technical support division.</t>
        </is>
      </c>
      <c r="E11" s="21" t="inlineStr">
        <is>
          <t>N/A</t>
        </is>
      </c>
      <c r="F11" s="21" t="inlineStr">
        <is>
          <t>Should</t>
        </is>
      </c>
      <c r="G11" s="21" t="inlineStr">
        <is>
          <t>Were</t>
        </is>
      </c>
      <c r="H11" s="21" t="inlineStr">
        <is>
          <t>Had</t>
        </is>
      </c>
      <c r="I11" s="21" t="inlineStr">
        <is>
          <t>Unless</t>
        </is>
      </c>
      <c r="J11" s="20" t="inlineStr">
        <is>
          <t>A</t>
        </is>
      </c>
      <c r="K11" s="22" t="inlineStr">
        <is>
          <t>📱 Q110번 풀기</t>
        </is>
      </c>
    </row>
    <row r="12" ht="52" customHeight="1">
      <c r="A12" s="17" t="inlineStr">
        <is>
          <t>Q111</t>
        </is>
      </c>
      <c r="B12" s="17" t="inlineStr">
        <is>
          <t>Part 5</t>
        </is>
      </c>
      <c r="C12" s="18" t="inlineStr">
        <is>
          <t>Grammar (명사 수식 과거분사 형용사)</t>
        </is>
      </c>
      <c r="D12" s="18" t="inlineStr">
        <is>
          <t>The company hired a ------- team of consultants to optimize its supply chain logistics.</t>
        </is>
      </c>
      <c r="E12" s="18" t="inlineStr">
        <is>
          <t>N/A</t>
        </is>
      </c>
      <c r="F12" s="18" t="inlineStr">
        <is>
          <t>dedicated</t>
        </is>
      </c>
      <c r="G12" s="18" t="inlineStr">
        <is>
          <t>dedicate</t>
        </is>
      </c>
      <c r="H12" s="18" t="inlineStr">
        <is>
          <t>dedication</t>
        </is>
      </c>
      <c r="I12" s="18" t="inlineStr">
        <is>
          <t>dedicating</t>
        </is>
      </c>
      <c r="J12" s="17" t="inlineStr">
        <is>
          <t>A</t>
        </is>
      </c>
      <c r="K12" s="19" t="inlineStr">
        <is>
          <t>📱 Q111번 풀기</t>
        </is>
      </c>
    </row>
    <row r="13" ht="52" customHeight="1">
      <c r="A13" s="20" t="inlineStr">
        <is>
          <t>Q112</t>
        </is>
      </c>
      <c r="B13" s="20" t="inlineStr">
        <is>
          <t>Part 5</t>
        </is>
      </c>
      <c r="C13" s="21" t="inlineStr">
        <is>
          <t>Grammar (목적을 나타내는 to부정사)</t>
        </is>
      </c>
      <c r="D13" s="21" t="inlineStr">
        <is>
          <t>------- promote the new eco-friendly product line, the marketing team launched an interactive online campaign.</t>
        </is>
      </c>
      <c r="E13" s="21" t="inlineStr">
        <is>
          <t>N/A</t>
        </is>
      </c>
      <c r="F13" s="21" t="inlineStr">
        <is>
          <t>In order to</t>
        </is>
      </c>
      <c r="G13" s="21" t="inlineStr">
        <is>
          <t>Because of</t>
        </is>
      </c>
      <c r="H13" s="21" t="inlineStr">
        <is>
          <t>Due to</t>
        </is>
      </c>
      <c r="I13" s="21" t="inlineStr">
        <is>
          <t>In spite of</t>
        </is>
      </c>
      <c r="J13" s="20" t="inlineStr">
        <is>
          <t>A</t>
        </is>
      </c>
      <c r="K13" s="22" t="inlineStr">
        <is>
          <t>📱 Q112번 풀기</t>
        </is>
      </c>
    </row>
    <row r="14" ht="52" customHeight="1">
      <c r="A14" s="17" t="inlineStr">
        <is>
          <t>Q113</t>
        </is>
      </c>
      <c r="B14" s="17" t="inlineStr">
        <is>
          <t>Part 5</t>
        </is>
      </c>
      <c r="C14" s="18" t="inlineStr">
        <is>
          <t>Grammar (자동사 수식 부사 자리)</t>
        </is>
      </c>
      <c r="D14" s="18" t="inlineStr">
        <is>
          <t>Customer service representatives are trained to respond ------- to all client inquiries.</t>
        </is>
      </c>
      <c r="E14" s="18" t="inlineStr">
        <is>
          <t>N/A</t>
        </is>
      </c>
      <c r="F14" s="18" t="inlineStr">
        <is>
          <t>promptly</t>
        </is>
      </c>
      <c r="G14" s="18" t="inlineStr">
        <is>
          <t>prompt</t>
        </is>
      </c>
      <c r="H14" s="18" t="inlineStr">
        <is>
          <t>promptness</t>
        </is>
      </c>
      <c r="I14" s="18" t="inlineStr">
        <is>
          <t>more prompt</t>
        </is>
      </c>
      <c r="J14" s="17" t="inlineStr">
        <is>
          <t>A</t>
        </is>
      </c>
      <c r="K14" s="19" t="inlineStr">
        <is>
          <t>📱 Q113번 풀기</t>
        </is>
      </c>
    </row>
    <row r="15" ht="52" customHeight="1">
      <c r="A15" s="20" t="inlineStr">
        <is>
          <t>Q114</t>
        </is>
      </c>
      <c r="B15" s="20" t="inlineStr">
        <is>
          <t>Part 5</t>
        </is>
      </c>
      <c r="C15" s="21" t="inlineStr">
        <is>
          <t>Vocabulary (타동사 + 목적어 연어)</t>
        </is>
      </c>
      <c r="D15" s="21" t="inlineStr">
        <is>
          <t>The safety auditor will ------- a thorough inspection of the chemical processing unit tomorrow morning.</t>
        </is>
      </c>
      <c r="E15" s="21" t="inlineStr">
        <is>
          <t>N/A</t>
        </is>
      </c>
      <c r="F15" s="21" t="inlineStr">
        <is>
          <t>conduct</t>
        </is>
      </c>
      <c r="G15" s="21" t="inlineStr">
        <is>
          <t>arrive</t>
        </is>
      </c>
      <c r="H15" s="21" t="inlineStr">
        <is>
          <t>proceed</t>
        </is>
      </c>
      <c r="I15" s="21" t="inlineStr">
        <is>
          <t>rely</t>
        </is>
      </c>
      <c r="J15" s="20" t="inlineStr">
        <is>
          <t>A</t>
        </is>
      </c>
      <c r="K15" s="22" t="inlineStr">
        <is>
          <t>📱 Q114번 풀기</t>
        </is>
      </c>
    </row>
    <row r="16" ht="52" customHeight="1">
      <c r="A16" s="17" t="inlineStr">
        <is>
          <t>Q115</t>
        </is>
      </c>
      <c r="B16" s="17" t="inlineStr">
        <is>
          <t>Part 5</t>
        </is>
      </c>
      <c r="C16" s="18" t="inlineStr">
        <is>
          <t>Grammar (상관접속사 neither A nor B)</t>
        </is>
      </c>
      <c r="D16" s="18" t="inlineStr">
        <is>
          <t>Due to inclement weather, ------- the morning flight nor the afternoon ferry was able to operate as scheduled.</t>
        </is>
      </c>
      <c r="E16" s="18" t="inlineStr">
        <is>
          <t>N/A</t>
        </is>
      </c>
      <c r="F16" s="18" t="inlineStr">
        <is>
          <t>neither</t>
        </is>
      </c>
      <c r="G16" s="18" t="inlineStr">
        <is>
          <t>either</t>
        </is>
      </c>
      <c r="H16" s="18" t="inlineStr">
        <is>
          <t>both</t>
        </is>
      </c>
      <c r="I16" s="18" t="inlineStr">
        <is>
          <t>whether</t>
        </is>
      </c>
      <c r="J16" s="17" t="inlineStr">
        <is>
          <t>A</t>
        </is>
      </c>
      <c r="K16" s="19" t="inlineStr">
        <is>
          <t>📱 Q115번 풀기</t>
        </is>
      </c>
    </row>
    <row r="17" ht="52" customHeight="1">
      <c r="A17" s="20" t="inlineStr">
        <is>
          <t>Q116</t>
        </is>
      </c>
      <c r="B17" s="20" t="inlineStr">
        <is>
          <t>Part 5</t>
        </is>
      </c>
      <c r="C17" s="21" t="inlineStr">
        <is>
          <t>Grammar (복합관계대명사 whoever)</t>
        </is>
      </c>
      <c r="D17" s="21" t="inlineStr">
        <is>
          <t>------- wishes to participate in the corporate mentoring program must submit a statement of interest by Friday.</t>
        </is>
      </c>
      <c r="E17" s="21" t="inlineStr">
        <is>
          <t>N/A</t>
        </is>
      </c>
      <c r="F17" s="21" t="inlineStr">
        <is>
          <t>Whoever</t>
        </is>
      </c>
      <c r="G17" s="21" t="inlineStr">
        <is>
          <t>Whomever</t>
        </is>
      </c>
      <c r="H17" s="21" t="inlineStr">
        <is>
          <t>Whatever</t>
        </is>
      </c>
      <c r="I17" s="21" t="inlineStr">
        <is>
          <t>Which</t>
        </is>
      </c>
      <c r="J17" s="20" t="inlineStr">
        <is>
          <t>A</t>
        </is>
      </c>
      <c r="K17" s="22" t="inlineStr">
        <is>
          <t>📱 Q116번 풀기</t>
        </is>
      </c>
    </row>
    <row r="18" ht="52" customHeight="1">
      <c r="A18" s="17" t="inlineStr">
        <is>
          <t>Q117</t>
        </is>
      </c>
      <c r="B18" s="17" t="inlineStr">
        <is>
          <t>Part 5</t>
        </is>
      </c>
      <c r="C18" s="18" t="inlineStr">
        <is>
          <t>Grammar (형용사 수식 부사 자리)</t>
        </is>
      </c>
      <c r="D18" s="18" t="inlineStr">
        <is>
          <t>The software launch was ------- successful, generating over one million downloads in its first forty-eight hours.</t>
        </is>
      </c>
      <c r="E18" s="18" t="inlineStr">
        <is>
          <t>N/A</t>
        </is>
      </c>
      <c r="F18" s="18" t="inlineStr">
        <is>
          <t>remarkably</t>
        </is>
      </c>
      <c r="G18" s="18" t="inlineStr">
        <is>
          <t>remarkable</t>
        </is>
      </c>
      <c r="H18" s="18" t="inlineStr">
        <is>
          <t>remark</t>
        </is>
      </c>
      <c r="I18" s="18" t="inlineStr">
        <is>
          <t>remarkableness</t>
        </is>
      </c>
      <c r="J18" s="17" t="inlineStr">
        <is>
          <t>A</t>
        </is>
      </c>
      <c r="K18" s="19" t="inlineStr">
        <is>
          <t>📱 Q117번 풀기</t>
        </is>
      </c>
    </row>
    <row r="19" ht="52" customHeight="1">
      <c r="A19" s="20" t="inlineStr">
        <is>
          <t>Q118</t>
        </is>
      </c>
      <c r="B19" s="20" t="inlineStr">
        <is>
          <t>Part 5</t>
        </is>
      </c>
      <c r="C19" s="21" t="inlineStr">
        <is>
          <t>Vocabulary (타동사 어휘 grant)</t>
        </is>
      </c>
      <c r="D19" s="21" t="inlineStr">
        <is>
          <t>Security personnel are instructed not to ------- access to anyone without valid corporate credentials.</t>
        </is>
      </c>
      <c r="E19" s="21" t="inlineStr">
        <is>
          <t>N/A</t>
        </is>
      </c>
      <c r="F19" s="21" t="inlineStr">
        <is>
          <t>grant</t>
        </is>
      </c>
      <c r="G19" s="21" t="inlineStr">
        <is>
          <t>permit</t>
        </is>
      </c>
      <c r="H19" s="21" t="inlineStr">
        <is>
          <t>expand</t>
        </is>
      </c>
      <c r="I19" s="21" t="inlineStr">
        <is>
          <t>propose</t>
        </is>
      </c>
      <c r="J19" s="20" t="inlineStr">
        <is>
          <t>A</t>
        </is>
      </c>
      <c r="K19" s="22" t="inlineStr">
        <is>
          <t>📱 Q118번 풀기</t>
        </is>
      </c>
    </row>
    <row r="20">
      <c r="A20" s="17" t="inlineStr">
        <is>
          <t>Q119</t>
        </is>
      </c>
      <c r="B20" s="17" t="inlineStr">
        <is>
          <t>Part 5</t>
        </is>
      </c>
      <c r="C20" s="18" t="inlineStr">
        <is>
          <t>Grammar (양보 접속사 Although)</t>
        </is>
      </c>
      <c r="D20" s="18" t="inlineStr">
        <is>
          <t>------- the budget was severely constrained, the research team delivered groundbreaking results on time.</t>
        </is>
      </c>
      <c r="E20" s="18" t="inlineStr">
        <is>
          <t>N/A</t>
        </is>
      </c>
      <c r="F20" s="18" t="inlineStr">
        <is>
          <t>Although</t>
        </is>
      </c>
      <c r="G20" s="18" t="inlineStr">
        <is>
          <t>Despite</t>
        </is>
      </c>
      <c r="H20" s="18" t="inlineStr">
        <is>
          <t>In spite of</t>
        </is>
      </c>
      <c r="I20" s="18" t="inlineStr">
        <is>
          <t>Regardless of</t>
        </is>
      </c>
      <c r="J20" s="17" t="inlineStr">
        <is>
          <t>A</t>
        </is>
      </c>
      <c r="K20" s="19" t="inlineStr">
        <is>
          <t>📱 Q119번 풀기</t>
        </is>
      </c>
    </row>
    <row r="21">
      <c r="A21" s="20" t="inlineStr">
        <is>
          <t>Q120</t>
        </is>
      </c>
      <c r="B21" s="20" t="inlineStr">
        <is>
          <t>Part 5</t>
        </is>
      </c>
      <c r="C21" s="21" t="inlineStr">
        <is>
          <t>Grammar (동사 시제 및 수동태)</t>
        </is>
      </c>
      <c r="D21" s="21" t="inlineStr">
        <is>
          <t>Ms. Vance ------- to the position of Regional Vice President following her outstanding sales performance.</t>
        </is>
      </c>
      <c r="E21" s="21" t="inlineStr">
        <is>
          <t>N/A</t>
        </is>
      </c>
      <c r="F21" s="21" t="inlineStr">
        <is>
          <t>has been promoted</t>
        </is>
      </c>
      <c r="G21" s="21" t="inlineStr">
        <is>
          <t>is promoting</t>
        </is>
      </c>
      <c r="H21" s="21" t="inlineStr">
        <is>
          <t>was promote</t>
        </is>
      </c>
      <c r="I21" s="21" t="inlineStr">
        <is>
          <t>promotes</t>
        </is>
      </c>
      <c r="J21" s="20" t="inlineStr">
        <is>
          <t>A</t>
        </is>
      </c>
      <c r="K21" s="22" t="inlineStr">
        <is>
          <t>📱 Q120번 풀기</t>
        </is>
      </c>
    </row>
    <row r="22">
      <c r="A22" s="17" t="inlineStr">
        <is>
          <t>Q121</t>
        </is>
      </c>
      <c r="B22" s="17" t="inlineStr">
        <is>
          <t>Part 5</t>
        </is>
      </c>
      <c r="C22" s="18" t="inlineStr">
        <is>
          <t>Vocabulary (형용사 + 명사 연어 sincere gratitude)</t>
        </is>
      </c>
      <c r="D22" s="18" t="inlineStr">
        <is>
          <t>The board of directors wishes to express its ------- gratitude to all donors for their generous financial contributions.</t>
        </is>
      </c>
      <c r="E22" s="18" t="inlineStr">
        <is>
          <t>N/A</t>
        </is>
      </c>
      <c r="F22" s="18" t="inlineStr">
        <is>
          <t>sincere</t>
        </is>
      </c>
      <c r="G22" s="18" t="inlineStr">
        <is>
          <t>sincerely</t>
        </is>
      </c>
      <c r="H22" s="18" t="inlineStr">
        <is>
          <t>sincerity</t>
        </is>
      </c>
      <c r="I22" s="18" t="inlineStr">
        <is>
          <t>more sincere</t>
        </is>
      </c>
      <c r="J22" s="17" t="inlineStr">
        <is>
          <t>A</t>
        </is>
      </c>
      <c r="K22" s="19" t="inlineStr">
        <is>
          <t>📱 Q121번 풀기</t>
        </is>
      </c>
    </row>
    <row r="23">
      <c r="A23" s="20" t="inlineStr">
        <is>
          <t>Q122</t>
        </is>
      </c>
      <c r="B23" s="20" t="inlineStr">
        <is>
          <t>Part 5</t>
        </is>
      </c>
      <c r="C23" s="21" t="inlineStr">
        <is>
          <t>Grammar (전치사 뒤 동명사 목적어)</t>
        </is>
      </c>
      <c r="D23" s="21" t="inlineStr">
        <is>
          <t>Before ------- the final purchase contract, both corporate attorneys must review the liability clauses.</t>
        </is>
      </c>
      <c r="E23" s="21" t="inlineStr">
        <is>
          <t>N/A</t>
        </is>
      </c>
      <c r="F23" s="21" t="inlineStr">
        <is>
          <t>signing</t>
        </is>
      </c>
      <c r="G23" s="21" t="inlineStr">
        <is>
          <t>signed</t>
        </is>
      </c>
      <c r="H23" s="21" t="inlineStr">
        <is>
          <t>sign</t>
        </is>
      </c>
      <c r="I23" s="21" t="inlineStr">
        <is>
          <t>signature</t>
        </is>
      </c>
      <c r="J23" s="20" t="inlineStr">
        <is>
          <t>A</t>
        </is>
      </c>
      <c r="K23" s="22" t="inlineStr">
        <is>
          <t>📱 Q122번 풀기</t>
        </is>
      </c>
    </row>
    <row r="24">
      <c r="A24" s="17" t="inlineStr">
        <is>
          <t>Q123</t>
        </is>
      </c>
      <c r="B24" s="17" t="inlineStr">
        <is>
          <t>Part 5</t>
        </is>
      </c>
      <c r="C24" s="18" t="inlineStr">
        <is>
          <t>Vocabulary (빈출 형용사 어휘 substantial)</t>
        </is>
      </c>
      <c r="D24" s="18" t="inlineStr">
        <is>
          <t>Over the past fiscal year, the renewable energy sector experienced ------- growth across North America.</t>
        </is>
      </c>
      <c r="E24" s="18" t="inlineStr">
        <is>
          <t>N/A</t>
        </is>
      </c>
      <c r="F24" s="18" t="inlineStr">
        <is>
          <t>substantial</t>
        </is>
      </c>
      <c r="G24" s="18" t="inlineStr">
        <is>
          <t>reluctant</t>
        </is>
      </c>
      <c r="H24" s="18" t="inlineStr">
        <is>
          <t>fragile</t>
        </is>
      </c>
      <c r="I24" s="18" t="inlineStr">
        <is>
          <t>hesitant</t>
        </is>
      </c>
      <c r="J24" s="17" t="inlineStr">
        <is>
          <t>A</t>
        </is>
      </c>
      <c r="K24" s="19" t="inlineStr">
        <is>
          <t>📱 Q123번 풀기</t>
        </is>
      </c>
    </row>
    <row r="25">
      <c r="A25" s="20" t="inlineStr">
        <is>
          <t>Q124</t>
        </is>
      </c>
      <c r="B25" s="20" t="inlineStr">
        <is>
          <t>Part 5</t>
        </is>
      </c>
      <c r="C25" s="21" t="inlineStr">
        <is>
          <t>Vocabulary (부사 + 전치사 연어 directly to)</t>
        </is>
      </c>
      <c r="D25" s="21" t="inlineStr">
        <is>
          <t>All project managers are required to report ------- to the Chief Operations Officer.</t>
        </is>
      </c>
      <c r="E25" s="21" t="inlineStr">
        <is>
          <t>N/A</t>
        </is>
      </c>
      <c r="F25" s="21" t="inlineStr">
        <is>
          <t>directly</t>
        </is>
      </c>
      <c r="G25" s="21" t="inlineStr">
        <is>
          <t>direct</t>
        </is>
      </c>
      <c r="H25" s="21" t="inlineStr">
        <is>
          <t>direction</t>
        </is>
      </c>
      <c r="I25" s="21" t="inlineStr">
        <is>
          <t>directness</t>
        </is>
      </c>
      <c r="J25" s="20" t="inlineStr">
        <is>
          <t>A</t>
        </is>
      </c>
      <c r="K25" s="22" t="inlineStr">
        <is>
          <t>📱 Q124번 풀기</t>
        </is>
      </c>
    </row>
    <row r="26">
      <c r="A26" s="17" t="inlineStr">
        <is>
          <t>Q125</t>
        </is>
      </c>
      <c r="B26" s="17" t="inlineStr">
        <is>
          <t>Part 5</t>
        </is>
      </c>
      <c r="C26" s="18" t="inlineStr">
        <is>
          <t>Grammar (소유격 관계대명사 whose)</t>
        </is>
      </c>
      <c r="D26" s="18" t="inlineStr">
        <is>
          <t>Dr. Angela Harris, ------- research paper on nanotechnology won the national award, will deliver a keynote speech tomorrow.</t>
        </is>
      </c>
      <c r="E26" s="18" t="inlineStr">
        <is>
          <t>N/A</t>
        </is>
      </c>
      <c r="F26" s="18" t="inlineStr">
        <is>
          <t>whose</t>
        </is>
      </c>
      <c r="G26" s="18" t="inlineStr">
        <is>
          <t>which</t>
        </is>
      </c>
      <c r="H26" s="18" t="inlineStr">
        <is>
          <t>who</t>
        </is>
      </c>
      <c r="I26" s="18" t="inlineStr">
        <is>
          <t>whom</t>
        </is>
      </c>
      <c r="J26" s="17" t="inlineStr">
        <is>
          <t>A</t>
        </is>
      </c>
      <c r="K26" s="19" t="inlineStr">
        <is>
          <t>📱 Q125번 풀기</t>
        </is>
      </c>
    </row>
    <row r="27">
      <c r="A27" s="20" t="inlineStr">
        <is>
          <t>Q126</t>
        </is>
      </c>
      <c r="B27" s="20" t="inlineStr">
        <is>
          <t>Part 5</t>
        </is>
      </c>
      <c r="C27" s="21" t="inlineStr">
        <is>
          <t>Vocabulary (복합 전치사 in accordance with)</t>
        </is>
      </c>
      <c r="D27" s="21" t="inlineStr">
        <is>
          <t>All waste disposal operations must be conducted in ------- with federal environmental safety standards.</t>
        </is>
      </c>
      <c r="E27" s="21" t="inlineStr">
        <is>
          <t>N/A</t>
        </is>
      </c>
      <c r="F27" s="21" t="inlineStr">
        <is>
          <t>accordance</t>
        </is>
      </c>
      <c r="G27" s="21" t="inlineStr">
        <is>
          <t>consequence</t>
        </is>
      </c>
      <c r="H27" s="21" t="inlineStr">
        <is>
          <t>preference</t>
        </is>
      </c>
      <c r="I27" s="21" t="inlineStr">
        <is>
          <t>resemblance</t>
        </is>
      </c>
      <c r="J27" s="20" t="inlineStr">
        <is>
          <t>A</t>
        </is>
      </c>
      <c r="K27" s="22" t="inlineStr">
        <is>
          <t>📱 Q126번 풀기</t>
        </is>
      </c>
    </row>
    <row r="28">
      <c r="A28" s="17" t="inlineStr">
        <is>
          <t>Q127</t>
        </is>
      </c>
      <c r="B28" s="17" t="inlineStr">
        <is>
          <t>Part 5</t>
        </is>
      </c>
      <c r="C28" s="18" t="inlineStr">
        <is>
          <t>Vocabulary (타동사 어휘 expedite)</t>
        </is>
      </c>
      <c r="D28" s="18" t="inlineStr">
        <is>
          <t>Customers who wish to ------- the delivery of their online orders may select express courier shipping at checkout.</t>
        </is>
      </c>
      <c r="E28" s="18" t="inlineStr">
        <is>
          <t>N/A</t>
        </is>
      </c>
      <c r="F28" s="18" t="inlineStr">
        <is>
          <t>expedite</t>
        </is>
      </c>
      <c r="G28" s="18" t="inlineStr">
        <is>
          <t>postpone</t>
        </is>
      </c>
      <c r="H28" s="18" t="inlineStr">
        <is>
          <t>terminate</t>
        </is>
      </c>
      <c r="I28" s="18" t="inlineStr">
        <is>
          <t>hesitate</t>
        </is>
      </c>
      <c r="J28" s="17" t="inlineStr">
        <is>
          <t>A</t>
        </is>
      </c>
      <c r="K28" s="19" t="inlineStr">
        <is>
          <t>📱 Q127번 풀기</t>
        </is>
      </c>
    </row>
    <row r="29">
      <c r="A29" s="20" t="inlineStr">
        <is>
          <t>Q128</t>
        </is>
      </c>
      <c r="B29" s="20" t="inlineStr">
        <is>
          <t>Part 5</t>
        </is>
      </c>
      <c r="C29" s="21" t="inlineStr">
        <is>
          <t>★킬러 (가정법 과거 도치 Were it not for)</t>
        </is>
      </c>
      <c r="D29" s="21" t="inlineStr">
        <is>
          <t>------- it not for the generous support of our community partners, the youth science center could not remain open.</t>
        </is>
      </c>
      <c r="E29" s="21" t="inlineStr">
        <is>
          <t>N/A</t>
        </is>
      </c>
      <c r="F29" s="21" t="inlineStr">
        <is>
          <t>Were</t>
        </is>
      </c>
      <c r="G29" s="21" t="inlineStr">
        <is>
          <t>Was</t>
        </is>
      </c>
      <c r="H29" s="21" t="inlineStr">
        <is>
          <t>Had</t>
        </is>
      </c>
      <c r="I29" s="21" t="inlineStr">
        <is>
          <t>Should</t>
        </is>
      </c>
      <c r="J29" s="20" t="inlineStr">
        <is>
          <t>A</t>
        </is>
      </c>
      <c r="K29" s="22" t="inlineStr">
        <is>
          <t>📱 Q128번 풀기</t>
        </is>
      </c>
    </row>
    <row r="30">
      <c r="A30" s="17" t="inlineStr">
        <is>
          <t>Q129</t>
        </is>
      </c>
      <c r="B30" s="17" t="inlineStr">
        <is>
          <t>Part 5</t>
        </is>
      </c>
      <c r="C30" s="18" t="inlineStr">
        <is>
          <t>Vocabulary (부사 어휘 unanimously)</t>
        </is>
      </c>
      <c r="D30" s="18" t="inlineStr">
        <is>
          <t>The committee members ------- approved the new telecommuting policy after discussing the survey findings.</t>
        </is>
      </c>
      <c r="E30" s="18" t="inlineStr">
        <is>
          <t>N/A</t>
        </is>
      </c>
      <c r="F30" s="18" t="inlineStr">
        <is>
          <t>unanimously</t>
        </is>
      </c>
      <c r="G30" s="18" t="inlineStr">
        <is>
          <t>reluctantly</t>
        </is>
      </c>
      <c r="H30" s="18" t="inlineStr">
        <is>
          <t>accidentally</t>
        </is>
      </c>
      <c r="I30" s="18" t="inlineStr">
        <is>
          <t>scarcely</t>
        </is>
      </c>
      <c r="J30" s="17" t="inlineStr">
        <is>
          <t>A</t>
        </is>
      </c>
      <c r="K30" s="19" t="inlineStr">
        <is>
          <t>📱 Q129번 풀기</t>
        </is>
      </c>
    </row>
    <row r="31">
      <c r="A31" s="20" t="inlineStr">
        <is>
          <t>Q130</t>
        </is>
      </c>
      <c r="B31" s="20" t="inlineStr">
        <is>
          <t>Part 5</t>
        </is>
      </c>
      <c r="C31" s="21" t="inlineStr">
        <is>
          <t>★킬러 (형용사 + 명사 연어 rigorous standards)</t>
        </is>
      </c>
      <c r="D31" s="21" t="inlineStr">
        <is>
          <t>The aerospace contractor must comply with ------- safety protocols before testing the experimental engine.</t>
        </is>
      </c>
      <c r="E31" s="21" t="inlineStr">
        <is>
          <t>N/A</t>
        </is>
      </c>
      <c r="F31" s="21" t="inlineStr">
        <is>
          <t>rigorous</t>
        </is>
      </c>
      <c r="G31" s="21" t="inlineStr">
        <is>
          <t>fragile</t>
        </is>
      </c>
      <c r="H31" s="21" t="inlineStr">
        <is>
          <t>hesitant</t>
        </is>
      </c>
      <c r="I31" s="21" t="inlineStr">
        <is>
          <t>casual</t>
        </is>
      </c>
      <c r="J31" s="20" t="inlineStr">
        <is>
          <t>A</t>
        </is>
      </c>
      <c r="K31" s="22" t="inlineStr">
        <is>
          <t>📱 Q130번 풀기</t>
        </is>
      </c>
    </row>
    <row r="32">
      <c r="A32" s="17" t="inlineStr">
        <is>
          <t>Q131</t>
        </is>
      </c>
      <c r="B32" s="17" t="inlineStr">
        <is>
          <t>Part 6</t>
        </is>
      </c>
      <c r="C32" s="18" t="inlineStr">
        <is>
          <t>Context &amp; Transition (문맥 접속부사)</t>
        </is>
      </c>
      <c r="D32" s="18" t="inlineStr">
        <is>
          <t>Choose the word that best completes the blank [ 131 ].</t>
        </is>
      </c>
      <c r="E32" s="18" t="inlineStr">
        <is>
          <t>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F32" s="18" t="inlineStr">
        <is>
          <t>Therefore</t>
        </is>
      </c>
      <c r="G32" s="18" t="inlineStr">
        <is>
          <t>However</t>
        </is>
      </c>
      <c r="H32" s="18" t="inlineStr">
        <is>
          <t>Otherwise</t>
        </is>
      </c>
      <c r="I32" s="18" t="inlineStr">
        <is>
          <t>Meanwhile</t>
        </is>
      </c>
      <c r="J32" s="17" t="inlineStr">
        <is>
          <t>A</t>
        </is>
      </c>
      <c r="K32" s="19" t="inlineStr">
        <is>
          <t>📱 Q131번 풀기</t>
        </is>
      </c>
    </row>
    <row r="33">
      <c r="A33" s="20" t="inlineStr">
        <is>
          <t>Q132</t>
        </is>
      </c>
      <c r="B33" s="20" t="inlineStr">
        <is>
          <t>Part 6</t>
        </is>
      </c>
      <c r="C33" s="21" t="inlineStr">
        <is>
          <t>Sentence Insertion (문맥에 알맞은 문장 삽입)</t>
        </is>
      </c>
      <c r="D33" s="21" t="inlineStr">
        <is>
          <t>Choose the sentence that best fits the blank [ 132 ].</t>
        </is>
      </c>
      <c r="E33" s="21" t="inlineStr">
        <is>
          <t>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F33" s="21" t="inlineStr">
        <is>
          <t>This will ensure that security protocols remain uncompromised.</t>
        </is>
      </c>
      <c r="G33" s="21" t="inlineStr">
        <is>
          <t>The cafeteria menu will be expanded next week.</t>
        </is>
      </c>
      <c r="H33" s="21" t="inlineStr">
        <is>
          <t>Our annual sales goal has already been achieved.</t>
        </is>
      </c>
      <c r="I33" s="21" t="inlineStr">
        <is>
          <t>Applicants should submit their resumes by email.</t>
        </is>
      </c>
      <c r="J33" s="20" t="inlineStr">
        <is>
          <t>A</t>
        </is>
      </c>
      <c r="K33" s="22" t="inlineStr">
        <is>
          <t>📱 Q132번 풀기</t>
        </is>
      </c>
    </row>
    <row r="34">
      <c r="A34" s="17" t="inlineStr">
        <is>
          <t>Q133</t>
        </is>
      </c>
      <c r="B34" s="17" t="inlineStr">
        <is>
          <t>Part 6</t>
        </is>
      </c>
      <c r="C34" s="18" t="inlineStr">
        <is>
          <t>Grammar &amp; Vocabulary (형용사 보어 완성)</t>
        </is>
      </c>
      <c r="D34" s="18" t="inlineStr">
        <is>
          <t>Choose the word that best completes the blank [ 133 ].</t>
        </is>
      </c>
      <c r="E34" s="18" t="inlineStr">
        <is>
          <t>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F34" s="18" t="inlineStr">
        <is>
          <t>functional</t>
        </is>
      </c>
      <c r="G34" s="18" t="inlineStr">
        <is>
          <t>function</t>
        </is>
      </c>
      <c r="H34" s="18" t="inlineStr">
        <is>
          <t>functioning</t>
        </is>
      </c>
      <c r="I34" s="18" t="inlineStr">
        <is>
          <t>functionally</t>
        </is>
      </c>
      <c r="J34" s="17" t="inlineStr">
        <is>
          <t>A</t>
        </is>
      </c>
      <c r="K34" s="19" t="inlineStr">
        <is>
          <t>📱 Q133번 풀기</t>
        </is>
      </c>
    </row>
    <row r="35">
      <c r="A35" s="20" t="inlineStr">
        <is>
          <t>Q134</t>
        </is>
      </c>
      <c r="B35" s="20" t="inlineStr">
        <is>
          <t>Part 6</t>
        </is>
      </c>
      <c r="C35" s="21" t="inlineStr">
        <is>
          <t>Sentence Insertion (단락 마무리 문장 삽입)</t>
        </is>
      </c>
      <c r="D35" s="21" t="inlineStr">
        <is>
          <t>Choose the sentence that best fits the blank [ 134 ].</t>
        </is>
      </c>
      <c r="E35" s="21" t="inlineStr">
        <is>
          <t>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F35" s="21" t="inlineStr">
        <is>
          <t>Regular on-site operations are anticipated to resume smoothly on Monday, October 28.</t>
        </is>
      </c>
      <c r="G35" s="21" t="inlineStr">
        <is>
          <t>The company picnic has been scheduled for next summer.</t>
        </is>
      </c>
      <c r="H35" s="21" t="inlineStr">
        <is>
          <t>All construction contractors must show their driving licenses.</t>
        </is>
      </c>
      <c r="I35" s="21" t="inlineStr">
        <is>
          <t>Our quarterly earnings report is available online.</t>
        </is>
      </c>
      <c r="J35" s="20" t="inlineStr">
        <is>
          <t>A</t>
        </is>
      </c>
      <c r="K35" s="22" t="inlineStr">
        <is>
          <t>📱 Q134번 풀기</t>
        </is>
      </c>
    </row>
    <row r="36">
      <c r="A36" s="17" t="inlineStr">
        <is>
          <t>Q135</t>
        </is>
      </c>
      <c r="B36" s="17" t="inlineStr">
        <is>
          <t>Part 6</t>
        </is>
      </c>
      <c r="C36" s="18" t="inlineStr">
        <is>
          <t>Grammar (현재완료 시제)</t>
        </is>
      </c>
      <c r="D36" s="18" t="inlineStr">
        <is>
          <t>Choose the word that best completes the blank [ 135 ].</t>
        </is>
      </c>
      <c r="E36" s="18" t="inlineStr">
        <is>
          <t>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F36" s="18" t="inlineStr">
        <is>
          <t>has developed</t>
        </is>
      </c>
      <c r="G36" s="18" t="inlineStr">
        <is>
          <t>will develop</t>
        </is>
      </c>
      <c r="H36" s="18" t="inlineStr">
        <is>
          <t>developed</t>
        </is>
      </c>
      <c r="I36" s="18" t="inlineStr">
        <is>
          <t>was developing</t>
        </is>
      </c>
      <c r="J36" s="17" t="inlineStr">
        <is>
          <t>A</t>
        </is>
      </c>
      <c r="K36" s="19" t="inlineStr">
        <is>
          <t>📱 Q135번 풀기</t>
        </is>
      </c>
    </row>
    <row r="37">
      <c r="A37" s="20" t="inlineStr">
        <is>
          <t>Q136</t>
        </is>
      </c>
      <c r="B37" s="20" t="inlineStr">
        <is>
          <t>Part 6</t>
        </is>
      </c>
      <c r="C37" s="21" t="inlineStr">
        <is>
          <t>Sentence Insertion (문맥 문장 삽입)</t>
        </is>
      </c>
      <c r="D37" s="21" t="inlineStr">
        <is>
          <t>Choose the sentence that best fits the blank [ 136 ].</t>
        </is>
      </c>
      <c r="E37" s="21" t="inlineStr">
        <is>
          <t>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F37" s="21" t="inlineStr">
        <is>
          <t>Biometric login features provide state-of-the-art protection for all accounts.</t>
        </is>
      </c>
      <c r="G37" s="21" t="inlineStr">
        <is>
          <t>The bank branch will be permanently closed next month.</t>
        </is>
      </c>
      <c r="H37" s="21" t="inlineStr">
        <is>
          <t>Cash withdrawals can only be made in foreign currency.</t>
        </is>
      </c>
      <c r="I37" s="21" t="inlineStr">
        <is>
          <t>Personal checks will no longer be accepted by vendors.</t>
        </is>
      </c>
      <c r="J37" s="20" t="inlineStr">
        <is>
          <t>A</t>
        </is>
      </c>
      <c r="K37" s="22" t="inlineStr">
        <is>
          <t>📱 Q136번 풀기</t>
        </is>
      </c>
    </row>
    <row r="38">
      <c r="A38" s="17" t="inlineStr">
        <is>
          <t>Q137</t>
        </is>
      </c>
      <c r="B38" s="17" t="inlineStr">
        <is>
          <t>Part 6</t>
        </is>
      </c>
      <c r="C38" s="18" t="inlineStr">
        <is>
          <t>Vocabulary (문맥 어휘 빈출)</t>
        </is>
      </c>
      <c r="D38" s="18" t="inlineStr">
        <is>
          <t>Choose the word that best completes the blank [ 137 ].</t>
        </is>
      </c>
      <c r="E38" s="18" t="inlineStr">
        <is>
          <t>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F38" s="18" t="inlineStr">
        <is>
          <t>limited</t>
        </is>
      </c>
      <c r="G38" s="18" t="inlineStr">
        <is>
          <t>bound</t>
        </is>
      </c>
      <c r="H38" s="18" t="inlineStr">
        <is>
          <t>narrow</t>
        </is>
      </c>
      <c r="I38" s="18" t="inlineStr">
        <is>
          <t>slight</t>
        </is>
      </c>
      <c r="J38" s="17" t="inlineStr">
        <is>
          <t>A</t>
        </is>
      </c>
      <c r="K38" s="19" t="inlineStr">
        <is>
          <t>📱 Q137번 풀기</t>
        </is>
      </c>
    </row>
    <row r="39">
      <c r="A39" s="20" t="inlineStr">
        <is>
          <t>Q138</t>
        </is>
      </c>
      <c r="B39" s="20" t="inlineStr">
        <is>
          <t>Part 6</t>
        </is>
      </c>
      <c r="C39" s="21" t="inlineStr">
        <is>
          <t>Grammar (look forward to -ing)</t>
        </is>
      </c>
      <c r="D39" s="21" t="inlineStr">
        <is>
          <t>Choose the word that best completes the blank [ 138 ].</t>
        </is>
      </c>
      <c r="E39" s="21" t="inlineStr">
        <is>
          <t>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F39" s="21" t="inlineStr">
        <is>
          <t>serving</t>
        </is>
      </c>
      <c r="G39" s="21" t="inlineStr">
        <is>
          <t>serve</t>
        </is>
      </c>
      <c r="H39" s="21" t="inlineStr">
        <is>
          <t>served</t>
        </is>
      </c>
      <c r="I39" s="21" t="inlineStr">
        <is>
          <t>service</t>
        </is>
      </c>
      <c r="J39" s="20" t="inlineStr">
        <is>
          <t>A</t>
        </is>
      </c>
      <c r="K39" s="22" t="inlineStr">
        <is>
          <t>📱 Q138번 풀기</t>
        </is>
      </c>
    </row>
    <row r="40">
      <c r="A40" s="17" t="inlineStr">
        <is>
          <t>Q139</t>
        </is>
      </c>
      <c r="B40" s="17" t="inlineStr">
        <is>
          <t>Part 6</t>
        </is>
      </c>
      <c r="C40" s="18" t="inlineStr">
        <is>
          <t>Vocabulary (명사 어휘 merger)</t>
        </is>
      </c>
      <c r="D40" s="18" t="inlineStr">
        <is>
          <t>Choose the word that best completes the blank [ 139 ].</t>
        </is>
      </c>
      <c r="E40" s="18" t="inlineStr">
        <is>
          <t>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F40" s="18" t="inlineStr">
        <is>
          <t>merger</t>
        </is>
      </c>
      <c r="G40" s="18" t="inlineStr">
        <is>
          <t>termination</t>
        </is>
      </c>
      <c r="H40" s="18" t="inlineStr">
        <is>
          <t>hesitation</t>
        </is>
      </c>
      <c r="I40" s="18" t="inlineStr">
        <is>
          <t>demolition</t>
        </is>
      </c>
      <c r="J40" s="17" t="inlineStr">
        <is>
          <t>A</t>
        </is>
      </c>
      <c r="K40" s="19" t="inlineStr">
        <is>
          <t>📱 Q139번 풀기</t>
        </is>
      </c>
    </row>
    <row r="41">
      <c r="A41" s="20" t="inlineStr">
        <is>
          <t>Q140</t>
        </is>
      </c>
      <c r="B41" s="20" t="inlineStr">
        <is>
          <t>Part 6</t>
        </is>
      </c>
      <c r="C41" s="21" t="inlineStr">
        <is>
          <t>Sentence Insertion (문맥 문장 삽입)</t>
        </is>
      </c>
      <c r="D41" s="21" t="inlineStr">
        <is>
          <t>Choose the sentence that best fits the blank [ 140 ].</t>
        </is>
      </c>
      <c r="E41" s="21" t="inlineStr">
        <is>
          <t>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F41" s="21" t="inlineStr">
        <is>
          <t>Industry analysts anticipate annual cost savings exceeding $80 million.</t>
        </is>
      </c>
      <c r="G41" s="21" t="inlineStr">
        <is>
          <t>The company plans to discontinue all ocean cargo operations.</t>
        </is>
      </c>
      <c r="H41" s="21" t="inlineStr">
        <is>
          <t>Warehouse workers went on strike earlier this morning.</t>
        </is>
      </c>
      <c r="I41" s="21" t="inlineStr">
        <is>
          <t>New corporate offices will be constructed in Antarctica.</t>
        </is>
      </c>
      <c r="J41" s="20" t="inlineStr">
        <is>
          <t>A</t>
        </is>
      </c>
      <c r="K41" s="22" t="inlineStr">
        <is>
          <t>📱 Q140번 풀기</t>
        </is>
      </c>
    </row>
    <row r="42">
      <c r="A42" s="17" t="inlineStr">
        <is>
          <t>Q141</t>
        </is>
      </c>
      <c r="B42" s="17" t="inlineStr">
        <is>
          <t>Part 6</t>
        </is>
      </c>
      <c r="C42" s="18" t="inlineStr">
        <is>
          <t>Vocabulary (동명사 어휘 maintaining)</t>
        </is>
      </c>
      <c r="D42" s="18" t="inlineStr">
        <is>
          <t>Choose the word that best completes the blank [ 141 ].</t>
        </is>
      </c>
      <c r="E42" s="18" t="inlineStr">
        <is>
          <t>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F42" s="18" t="inlineStr">
        <is>
          <t>maintaining</t>
        </is>
      </c>
      <c r="G42" s="18" t="inlineStr">
        <is>
          <t>abandoning</t>
        </is>
      </c>
      <c r="H42" s="18" t="inlineStr">
        <is>
          <t>neglecting</t>
        </is>
      </c>
      <c r="I42" s="18" t="inlineStr">
        <is>
          <t>postponing</t>
        </is>
      </c>
      <c r="J42" s="17" t="inlineStr">
        <is>
          <t>A</t>
        </is>
      </c>
      <c r="K42" s="19" t="inlineStr">
        <is>
          <t>📱 Q141번 풀기</t>
        </is>
      </c>
    </row>
    <row r="43">
      <c r="A43" s="20" t="inlineStr">
        <is>
          <t>Q142</t>
        </is>
      </c>
      <c r="B43" s="20" t="inlineStr">
        <is>
          <t>Part 6</t>
        </is>
      </c>
      <c r="C43" s="21" t="inlineStr">
        <is>
          <t>Sentence Insertion (문맥 문장 삽입)</t>
        </is>
      </c>
      <c r="D43" s="21" t="inlineStr">
        <is>
          <t>Choose the sentence that best fits the blank [ 142 ].</t>
        </is>
      </c>
      <c r="E43" s="21" t="inlineStr">
        <is>
          <t>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F43" s="21" t="inlineStr">
        <is>
          <t>Clients will continue to interact with their dedicated account representatives as usual.</t>
        </is>
      </c>
      <c r="G43" s="21" t="inlineStr">
        <is>
          <t>All regional branches will be closed permanently by midnight.</t>
        </is>
      </c>
      <c r="H43" s="21" t="inlineStr">
        <is>
          <t>Employees must return their company laptops immediately.</t>
        </is>
      </c>
      <c r="I43" s="21" t="inlineStr">
        <is>
          <t>The stock market will remain closed for the rest of the year.</t>
        </is>
      </c>
      <c r="J43" s="20" t="inlineStr">
        <is>
          <t>A</t>
        </is>
      </c>
      <c r="K43" s="22" t="inlineStr">
        <is>
          <t>📱 Q142번 풀기</t>
        </is>
      </c>
    </row>
    <row r="44">
      <c r="A44" s="17" t="inlineStr">
        <is>
          <t>Q143</t>
        </is>
      </c>
      <c r="B44" s="17" t="inlineStr">
        <is>
          <t>Part 6</t>
        </is>
      </c>
      <c r="C44" s="18" t="inlineStr">
        <is>
          <t>Vocabulary (동사 어휘 establish)</t>
        </is>
      </c>
      <c r="D44" s="18" t="inlineStr">
        <is>
          <t>Choose the word that best completes the blank [ 143 ].</t>
        </is>
      </c>
      <c r="E44" s="18" t="inlineStr">
        <is>
          <t>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F44" s="18" t="inlineStr">
        <is>
          <t>establish</t>
        </is>
      </c>
      <c r="G44" s="18" t="inlineStr">
        <is>
          <t>demolish</t>
        </is>
      </c>
      <c r="H44" s="18" t="inlineStr">
        <is>
          <t>dismiss</t>
        </is>
      </c>
      <c r="I44" s="18" t="inlineStr">
        <is>
          <t>hesitate</t>
        </is>
      </c>
      <c r="J44" s="17" t="inlineStr">
        <is>
          <t>A</t>
        </is>
      </c>
      <c r="K44" s="19" t="inlineStr">
        <is>
          <t>📱 Q143번 풀기</t>
        </is>
      </c>
    </row>
    <row r="45">
      <c r="A45" s="20" t="inlineStr">
        <is>
          <t>Q144</t>
        </is>
      </c>
      <c r="B45" s="20" t="inlineStr">
        <is>
          <t>Part 6</t>
        </is>
      </c>
      <c r="C45" s="21" t="inlineStr">
        <is>
          <t>Sentence Insertion (문맥 문장 삽입)</t>
        </is>
      </c>
      <c r="D45" s="21" t="inlineStr">
        <is>
          <t>Choose the sentence that best fits the blank [ 144 ].</t>
        </is>
      </c>
      <c r="E45" s="21" t="inlineStr">
        <is>
          <t>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F45" s="21" t="inlineStr">
        <is>
          <t>These meetings are scheduled to occur between November 20 and December 8.</t>
        </is>
      </c>
      <c r="G45" s="21" t="inlineStr">
        <is>
          <t>The company holiday party will be held at a local resort.</t>
        </is>
      </c>
      <c r="H45" s="21" t="inlineStr">
        <is>
          <t>Parking validation stamps must be obtained from building security.</t>
        </is>
      </c>
      <c r="I45" s="21" t="inlineStr">
        <is>
          <t>Office supplies should be ordered directly from the catalog.</t>
        </is>
      </c>
      <c r="J45" s="20" t="inlineStr">
        <is>
          <t>A</t>
        </is>
      </c>
      <c r="K45" s="22" t="inlineStr">
        <is>
          <t>📱 Q144번 풀기</t>
        </is>
      </c>
    </row>
    <row r="46">
      <c r="A46" s="17" t="inlineStr">
        <is>
          <t>Q145</t>
        </is>
      </c>
      <c r="B46" s="17" t="inlineStr">
        <is>
          <t>Part 6</t>
        </is>
      </c>
      <c r="C46" s="18" t="inlineStr">
        <is>
          <t>Grammar (동사 수식 부사 directly)</t>
        </is>
      </c>
      <c r="D46" s="18" t="inlineStr">
        <is>
          <t>Choose the word that best completes the blank [ 145 ].</t>
        </is>
      </c>
      <c r="E46" s="18" t="inlineStr">
        <is>
          <t>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F46" s="18" t="inlineStr">
        <is>
          <t>directly</t>
        </is>
      </c>
      <c r="G46" s="18" t="inlineStr">
        <is>
          <t>direct</t>
        </is>
      </c>
      <c r="H46" s="18" t="inlineStr">
        <is>
          <t>direction</t>
        </is>
      </c>
      <c r="I46" s="18" t="inlineStr">
        <is>
          <t>directness</t>
        </is>
      </c>
      <c r="J46" s="17" t="inlineStr">
        <is>
          <t>A</t>
        </is>
      </c>
      <c r="K46" s="19" t="inlineStr">
        <is>
          <t>📱 Q145번 풀기</t>
        </is>
      </c>
    </row>
    <row r="47">
      <c r="A47" s="20" t="inlineStr">
        <is>
          <t>Q146</t>
        </is>
      </c>
      <c r="B47" s="20" t="inlineStr">
        <is>
          <t>Part 6</t>
        </is>
      </c>
      <c r="C47" s="21" t="inlineStr">
        <is>
          <t>Sentence Insertion (마무리 문장 삽입)</t>
        </is>
      </c>
      <c r="D47" s="21" t="inlineStr">
        <is>
          <t>Choose the sentence that best fits the blank [ 146 ].</t>
        </is>
      </c>
      <c r="E47" s="21" t="inlineStr">
        <is>
          <t>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F47" s="21" t="inlineStr">
        <is>
          <t>Should you have questions regarding the evaluation criteria, please contact HR.</t>
        </is>
      </c>
      <c r="G47" s="21" t="inlineStr">
        <is>
          <t>All company vehicles must undergo emission inspections this week.</t>
        </is>
      </c>
      <c r="H47" s="21" t="inlineStr">
        <is>
          <t>Lunch vouchers will be distributed to warehouse staff on Monday.</t>
        </is>
      </c>
      <c r="I47" s="21" t="inlineStr">
        <is>
          <t>The building fire alarm will be tested tomorrow morning.</t>
        </is>
      </c>
      <c r="J47" s="20" t="inlineStr">
        <is>
          <t>A</t>
        </is>
      </c>
      <c r="K47" s="22" t="inlineStr">
        <is>
          <t>📱 Q146번 풀기</t>
        </is>
      </c>
    </row>
    <row r="48">
      <c r="A48" s="17" t="inlineStr">
        <is>
          <t>Q147</t>
        </is>
      </c>
      <c r="B48" s="17" t="inlineStr">
        <is>
          <t>Part 7</t>
        </is>
      </c>
      <c r="C48" s="18" t="inlineStr">
        <is>
          <t>Detail (문맥 세부정보)</t>
        </is>
      </c>
      <c r="D48" s="18" t="inlineStr">
        <is>
          <t>What did Mr. Baxter approve?</t>
        </is>
      </c>
      <c r="E48" s="18" t="inlineStr">
        <is>
          <t>TEXT MESSAGE CONVERSATION
Mark Davies [10:14 A.M.]:
Hi Karen, are you still at the design client's office? I need to know if they approved the color scheme for the brochure.
Karen Mills [10:16 A.M.]:
Yes, Mr. Baxter loved the navy and emerald green layout! He just signed off on the proofs. I'm heading back to our studio now.
Mark Davies [10:18 A.M.]:
That's fantastic. Could you pick up a box of glossy cardstock from PrintSupply on your way back? We're completely out of stock.
Karen Mills [10:19 A.M.]:
Sure thing. I'll be back at the office by 11:15 A.M.</t>
        </is>
      </c>
      <c r="F48" s="18" t="inlineStr">
        <is>
          <t>A website homepage design</t>
        </is>
      </c>
      <c r="G48" s="18" t="inlineStr">
        <is>
          <t>A color scheme for a brochure</t>
        </is>
      </c>
      <c r="H48" s="18" t="inlineStr">
        <is>
          <t>A corporate logo revision</t>
        </is>
      </c>
      <c r="I48" s="18" t="inlineStr">
        <is>
          <t>An advertising budget</t>
        </is>
      </c>
      <c r="J48" s="17" t="inlineStr">
        <is>
          <t>B</t>
        </is>
      </c>
      <c r="K48" s="19" t="inlineStr">
        <is>
          <t>📱 Q147번 풀기</t>
        </is>
      </c>
    </row>
    <row r="49">
      <c r="A49" s="20" t="inlineStr">
        <is>
          <t>Q148</t>
        </is>
      </c>
      <c r="B49" s="20" t="inlineStr">
        <is>
          <t>Part 7</t>
        </is>
      </c>
      <c r="C49" s="21" t="inlineStr">
        <is>
          <t>Next Action (다음 행동 추론)</t>
        </is>
      </c>
      <c r="D49" s="21" t="inlineStr">
        <is>
          <t>What will Karen Mills most likely do next?</t>
        </is>
      </c>
      <c r="E49" s="21" t="inlineStr">
        <is>
          <t>TEXT MESSAGE CONVERSATION
Mark Davies [10:14 A.M.]:
Hi Karen, are you still at the design client's office? I need to know if they approved the color scheme for the brochure.
Karen Mills [10:16 A.M.]:
Yes, Mr. Baxter loved the navy and emerald green layout! He just signed off on the proofs. I'm heading back to our studio now.
Mark Davies [10:18 A.M.]:
That's fantastic. Could you pick up a box of glossy cardstock from PrintSupply on your way back? We're completely out of stock.
Karen Mills [10:19 A.M.]:
Sure thing. I'll be back at the office by 11:15 A.M.</t>
        </is>
      </c>
      <c r="F49" s="21" t="inlineStr">
        <is>
          <t>Cancel a printing contract</t>
        </is>
      </c>
      <c r="G49" s="21" t="inlineStr">
        <is>
          <t>Visit PrintSupply to purchase paper</t>
        </is>
      </c>
      <c r="H49" s="21" t="inlineStr">
        <is>
          <t>Call Mr. Baxter for clarification</t>
        </is>
      </c>
      <c r="I49" s="21" t="inlineStr">
        <is>
          <t>Meet Mark at the studio immediately</t>
        </is>
      </c>
      <c r="J49" s="20" t="inlineStr">
        <is>
          <t>B</t>
        </is>
      </c>
      <c r="K49" s="22" t="inlineStr">
        <is>
          <t>📱 Q148번 풀기</t>
        </is>
      </c>
    </row>
    <row r="50">
      <c r="A50" s="17" t="inlineStr">
        <is>
          <t>Q149</t>
        </is>
      </c>
      <c r="B50" s="17" t="inlineStr">
        <is>
          <t>Part 7</t>
        </is>
      </c>
      <c r="C50" s="18" t="inlineStr">
        <is>
          <t>Main Idea (공지 목적)</t>
        </is>
      </c>
      <c r="D50" s="18" t="inlineStr">
        <is>
          <t>What is the primary purpose of the notice?</t>
        </is>
      </c>
      <c r="E50" s="18" t="inlineStr">
        <is>
          <t>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F50" s="18" t="inlineStr">
        <is>
          <t>To announce changes to expense reimbursement procedures</t>
        </is>
      </c>
      <c r="G50" s="18" t="inlineStr">
        <is>
          <t>To inform staff of upcoming business travel schedules</t>
        </is>
      </c>
      <c r="H50" s="18" t="inlineStr">
        <is>
          <t>To provide instructions on downloading mobile software</t>
        </is>
      </c>
      <c r="I50" s="18" t="inlineStr">
        <is>
          <t>To introduce new personnel in the accounting department</t>
        </is>
      </c>
      <c r="J50" s="17" t="inlineStr">
        <is>
          <t>A</t>
        </is>
      </c>
      <c r="K50" s="19" t="inlineStr">
        <is>
          <t>📱 Q149번 풀기</t>
        </is>
      </c>
    </row>
    <row r="51">
      <c r="A51" s="20" t="inlineStr">
        <is>
          <t>Q150</t>
        </is>
      </c>
      <c r="B51" s="20" t="inlineStr">
        <is>
          <t>Part 7</t>
        </is>
      </c>
      <c r="C51" s="21" t="inlineStr">
        <is>
          <t>Detail (세부정보 매칭)</t>
        </is>
      </c>
      <c r="D51" s="21" t="inlineStr">
        <is>
          <t>According to the notice, what is stated about receipts?</t>
        </is>
      </c>
      <c r="E51" s="21" t="inlineStr">
        <is>
          <t>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F51" s="21" t="inlineStr">
        <is>
          <t>Paper receipts must be mailed to finance.</t>
        </is>
      </c>
      <c r="G51" s="21" t="inlineStr">
        <is>
          <t>They must be provided in an electronic format.</t>
        </is>
      </c>
      <c r="H51" s="21" t="inlineStr">
        <is>
          <t>Original copies must be submitted in person.</t>
        </is>
      </c>
      <c r="I51" s="21" t="inlineStr">
        <is>
          <t>Receipts under $20 do not require submission.</t>
        </is>
      </c>
      <c r="J51" s="20" t="inlineStr">
        <is>
          <t>B</t>
        </is>
      </c>
      <c r="K51" s="22" t="inlineStr">
        <is>
          <t>📱 Q150번 풀기</t>
        </is>
      </c>
    </row>
    <row r="52">
      <c r="A52" s="17" t="inlineStr">
        <is>
          <t>Q151</t>
        </is>
      </c>
      <c r="B52" s="17" t="inlineStr">
        <is>
          <t>Part 7</t>
        </is>
      </c>
      <c r="C52" s="18" t="inlineStr">
        <is>
          <t>Detail (할인 적용 사유)</t>
        </is>
      </c>
      <c r="D52" s="18" t="inlineStr">
        <is>
          <t>Why is a discount applied to the order?</t>
        </is>
      </c>
      <c r="E52" s="18" t="inlineStr">
        <is>
          <t>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F52" s="18" t="inlineStr">
        <is>
          <t>Because the items were purchased in large quantities</t>
        </is>
      </c>
      <c r="G52" s="18" t="inlineStr">
        <is>
          <t>Because the customer paid in advance using cash</t>
        </is>
      </c>
      <c r="H52" s="18" t="inlineStr">
        <is>
          <t>Because the merchandise was slightly damaged</t>
        </is>
      </c>
      <c r="I52" s="18" t="inlineStr">
        <is>
          <t>Because the order was placed during a holiday sale</t>
        </is>
      </c>
      <c r="J52" s="17" t="inlineStr">
        <is>
          <t>A</t>
        </is>
      </c>
      <c r="K52" s="19" t="inlineStr">
        <is>
          <t>📱 Q151번 풀기</t>
        </is>
      </c>
    </row>
    <row r="53">
      <c r="A53" s="20" t="inlineStr">
        <is>
          <t>Q152</t>
        </is>
      </c>
      <c r="B53" s="20" t="inlineStr">
        <is>
          <t>Part 7</t>
        </is>
      </c>
      <c r="C53" s="21" t="inlineStr">
        <is>
          <t>Inference (청구서 연계 추론)</t>
        </is>
      </c>
      <c r="D53" s="21" t="inlineStr">
        <is>
          <t>What is indicated about Horizon Legal Partners?</t>
        </is>
      </c>
      <c r="E53" s="21" t="inlineStr">
        <is>
          <t>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F53" s="21" t="inlineStr">
        <is>
          <t>They did not have to pay for shipping.</t>
        </is>
      </c>
      <c r="G53" s="21" t="inlineStr">
        <is>
          <t>They will receive their order by September 20.</t>
        </is>
      </c>
      <c r="H53" s="21" t="inlineStr">
        <is>
          <t>They ordered customized executive desks.</t>
        </is>
      </c>
      <c r="I53" s="21" t="inlineStr">
        <is>
          <t>They must pay the total amount immediately.</t>
        </is>
      </c>
      <c r="J53" s="20" t="inlineStr">
        <is>
          <t>A</t>
        </is>
      </c>
      <c r="K53" s="22" t="inlineStr">
        <is>
          <t>📱 Q152번 풀기</t>
        </is>
      </c>
    </row>
    <row r="54">
      <c r="A54" s="17" t="inlineStr">
        <is>
          <t>Q153</t>
        </is>
      </c>
      <c r="B54" s="17" t="inlineStr">
        <is>
          <t>Part 7</t>
        </is>
      </c>
      <c r="C54" s="18" t="inlineStr">
        <is>
          <t>Main Idea (채용 공고 대상)</t>
        </is>
      </c>
      <c r="D54" s="18" t="inlineStr">
        <is>
          <t>What position is NovaTech Solutions seeking to fill?</t>
        </is>
      </c>
      <c r="E54" s="18" t="inlineStr">
        <is>
          <t>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F54" s="18" t="inlineStr">
        <is>
          <t>Chief Financial Officer</t>
        </is>
      </c>
      <c r="G54" s="18" t="inlineStr">
        <is>
          <t>Director of Digital Marketing</t>
        </is>
      </c>
      <c r="H54" s="18" t="inlineStr">
        <is>
          <t>Senior Software Architect</t>
        </is>
      </c>
      <c r="I54" s="18" t="inlineStr">
        <is>
          <t>Customer Support Lead</t>
        </is>
      </c>
      <c r="J54" s="17" t="inlineStr">
        <is>
          <t>B</t>
        </is>
      </c>
      <c r="K54" s="19" t="inlineStr">
        <is>
          <t>📱 Q153번 풀기</t>
        </is>
      </c>
    </row>
    <row r="55">
      <c r="A55" s="20" t="inlineStr">
        <is>
          <t>Q154</t>
        </is>
      </c>
      <c r="B55" s="20" t="inlineStr">
        <is>
          <t>Part 7</t>
        </is>
      </c>
      <c r="C55" s="21" t="inlineStr">
        <is>
          <t>Requirement (지원 자격 요건)</t>
        </is>
      </c>
      <c r="D55" s="21" t="inlineStr">
        <is>
          <t>What is a requirement for applicants?</t>
        </is>
      </c>
      <c r="E55" s="21" t="inlineStr">
        <is>
          <t>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F55" s="21" t="inlineStr">
        <is>
          <t>At least 7 years of digital marketing experience</t>
        </is>
      </c>
      <c r="G55" s="21" t="inlineStr">
        <is>
          <t>Fluency in three languages</t>
        </is>
      </c>
      <c r="H55" s="21" t="inlineStr">
        <is>
          <t>Willingness to relocate to Europe</t>
        </is>
      </c>
      <c r="I55" s="21" t="inlineStr">
        <is>
          <t>Doctoral degree in computer science</t>
        </is>
      </c>
      <c r="J55" s="20" t="inlineStr">
        <is>
          <t>A</t>
        </is>
      </c>
      <c r="K55" s="22" t="inlineStr">
        <is>
          <t>📱 Q154번 풀기</t>
        </is>
      </c>
    </row>
    <row r="56">
      <c r="A56" s="17" t="inlineStr">
        <is>
          <t>Q155</t>
        </is>
      </c>
      <c r="B56" s="17" t="inlineStr">
        <is>
          <t>Part 7</t>
        </is>
      </c>
      <c r="C56" s="18" t="inlineStr">
        <is>
          <t>Detail (지원 마감 방법)</t>
        </is>
      </c>
      <c r="D56" s="18" t="inlineStr">
        <is>
          <t>How should candidates submit their applications?</t>
        </is>
      </c>
      <c r="E56" s="18" t="inlineStr">
        <is>
          <t>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F56" s="18" t="inlineStr">
        <is>
          <t>By sending materials by postal mail</t>
        </is>
      </c>
      <c r="G56" s="18" t="inlineStr">
        <is>
          <t>By emailing a resume and portfolio</t>
        </is>
      </c>
      <c r="H56" s="18" t="inlineStr">
        <is>
          <t>By applying in person at the Austin office</t>
        </is>
      </c>
      <c r="I56" s="18" t="inlineStr">
        <is>
          <t>By completing an online assessment test</t>
        </is>
      </c>
      <c r="J56" s="17" t="inlineStr">
        <is>
          <t>B</t>
        </is>
      </c>
      <c r="K56" s="19" t="inlineStr">
        <is>
          <t>📱 Q155번 풀기</t>
        </is>
      </c>
    </row>
    <row r="57">
      <c r="A57" s="20" t="inlineStr">
        <is>
          <t>Q156</t>
        </is>
      </c>
      <c r="B57" s="20" t="inlineStr">
        <is>
          <t>Part 7</t>
        </is>
      </c>
      <c r="C57" s="21" t="inlineStr">
        <is>
          <t>Detail (행사 시간)</t>
        </is>
      </c>
      <c r="D57" s="21" t="inlineStr">
        <is>
          <t>What time will the morning coffee service begin?</t>
        </is>
      </c>
      <c r="E57" s="21" t="inlineStr">
        <is>
          <t>BOOKING CONFIRMATION
Grand Plaza Hotel &amp; Conference Center
Reservation ID: GP-88421
Guest Name: Arthur Pendelton, Vertex BioSciences
Event Date: November 18, 2026
Booking Summary:
• Meeting Space: The Regent Ballroom (Hall B)
• Time: 8:00 A.M. – 5:00 P.M.
• Expected Attendance: 85 attendees
• Room Setup: Classroom style with center aisle
• Audiovisual Package: Dual ceiling projectors, wireless microphones, podium with laptop HDMI connection
Catering Details:
• Morning Coffee Service (8:30 A.M.): Freshly brewed coffee, herbal teas, fruit pastries
• Executive Buffet Lunch (12:30 P.M.): Grilled salmon, vegetarian lasagna, mixed garden salads
Payment Status:
A 20% non-refundable deposit of $600.00 was charged to your credit card ending in 4019. The remaining balance of $2,400.00 will be due upon check-in on the morning of the event.
Cancellation Policy:
Cancellations made less than 7 business days prior to the event will be billed for 50% of the total event cost.</t>
        </is>
      </c>
      <c r="F57" s="21" t="inlineStr">
        <is>
          <t>8:00 A.M.</t>
        </is>
      </c>
      <c r="G57" s="21" t="inlineStr">
        <is>
          <t>8:30 A.M.</t>
        </is>
      </c>
      <c r="H57" s="21" t="inlineStr">
        <is>
          <t>12:30 P.M.</t>
        </is>
      </c>
      <c r="I57" s="21" t="inlineStr">
        <is>
          <t>5:00 P.M.</t>
        </is>
      </c>
      <c r="J57" s="20" t="inlineStr">
        <is>
          <t>B</t>
        </is>
      </c>
      <c r="K57" s="22" t="inlineStr">
        <is>
          <t>📱 Q156번 풀기</t>
        </is>
      </c>
    </row>
    <row r="58">
      <c r="A58" s="17" t="inlineStr">
        <is>
          <t>Q157</t>
        </is>
      </c>
      <c r="B58" s="17" t="inlineStr">
        <is>
          <t>Part 7</t>
        </is>
      </c>
      <c r="C58" s="18" t="inlineStr">
        <is>
          <t>Financial Detail (잔금 결제 시점)</t>
        </is>
      </c>
      <c r="D58" s="18" t="inlineStr">
        <is>
          <t>When must the remaining balance of $2,400.00 be paid?</t>
        </is>
      </c>
      <c r="E58" s="18" t="inlineStr">
        <is>
          <t>BOOKING CONFIRMATION
Grand Plaza Hotel &amp; Conference Center
Reservation ID: GP-88421
Guest Name: Arthur Pendelton, Vertex BioSciences
Event Date: November 18, 2026
Booking Summary:
• Meeting Space: The Regent Ballroom (Hall B)
• Time: 8:00 A.M. – 5:00 P.M.
• Expected Attendance: 85 attendees
• Room Setup: Classroom style with center aisle
• Audiovisual Package: Dual ceiling projectors, wireless microphones, podium with laptop HDMI connection
Catering Details:
• Morning Coffee Service (8:30 A.M.): Freshly brewed coffee, herbal teas, fruit pastries
• Executive Buffet Lunch (12:30 P.M.): Grilled salmon, vegetarian lasagna, mixed garden salads
Payment Status:
A 20% non-refundable deposit of $600.00 was charged to your credit card ending in 4019. The remaining balance of $2,400.00 will be due upon check-in on the morning of the event.
Cancellation Policy:
Cancellations made less than 7 business days prior to the event will be billed for 50% of the total event cost.</t>
        </is>
      </c>
      <c r="F58" s="18" t="inlineStr">
        <is>
          <t>Immediately upon receiving the confirmation</t>
        </is>
      </c>
      <c r="G58" s="18" t="inlineStr">
        <is>
          <t>Seven business days prior to the event</t>
        </is>
      </c>
      <c r="H58" s="18" t="inlineStr">
        <is>
          <t>Upon check-in on the morning of the event</t>
        </is>
      </c>
      <c r="I58" s="18" t="inlineStr">
        <is>
          <t>Within 30 days after the event concludes</t>
        </is>
      </c>
      <c r="J58" s="17" t="inlineStr">
        <is>
          <t>C</t>
        </is>
      </c>
      <c r="K58" s="19" t="inlineStr">
        <is>
          <t>📱 Q157번 풀기</t>
        </is>
      </c>
    </row>
    <row r="59">
      <c r="A59" s="20" t="inlineStr">
        <is>
          <t>Q158</t>
        </is>
      </c>
      <c r="B59" s="20" t="inlineStr">
        <is>
          <t>Part 7</t>
        </is>
      </c>
      <c r="C59" s="21" t="inlineStr">
        <is>
          <t>Main Purpose (문서 목적)</t>
        </is>
      </c>
      <c r="D59" s="21" t="inlineStr">
        <is>
          <t>What is the main purpose of the document?</t>
        </is>
      </c>
      <c r="E59" s="21" t="inlineStr">
        <is>
          <t>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F59" s="21" t="inlineStr">
        <is>
          <t>To outline warranty terms and repair procedures</t>
        </is>
      </c>
      <c r="G59" s="21" t="inlineStr">
        <is>
          <t>To announce a product recall for safety reasons</t>
        </is>
      </c>
      <c r="H59" s="21" t="inlineStr">
        <is>
          <t>To promote an extended warranty subscription</t>
        </is>
      </c>
      <c r="I59" s="21" t="inlineStr">
        <is>
          <t>To provide instructions on device pairing</t>
        </is>
      </c>
      <c r="J59" s="20" t="inlineStr">
        <is>
          <t>A</t>
        </is>
      </c>
      <c r="K59" s="22" t="inlineStr">
        <is>
          <t>📱 Q158번 풀기</t>
        </is>
      </c>
    </row>
    <row r="60">
      <c r="A60" s="17" t="inlineStr">
        <is>
          <t>Q159</t>
        </is>
      </c>
      <c r="B60" s="17" t="inlineStr">
        <is>
          <t>Part 7</t>
        </is>
      </c>
      <c r="C60" s="18" t="inlineStr">
        <is>
          <t>Detail (보증 제외 항목)</t>
        </is>
      </c>
      <c r="D60" s="18" t="inlineStr">
        <is>
          <t>According to the policy, what is NOT covered by the warranty?</t>
        </is>
      </c>
      <c r="E60" s="18" t="inlineStr">
        <is>
          <t>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F60" s="18" t="inlineStr">
        <is>
          <t>Factory software recalibration</t>
        </is>
      </c>
      <c r="G60" s="18" t="inlineStr">
        <is>
          <t>Cosmetic scratches from normal use</t>
        </is>
      </c>
      <c r="H60" s="18" t="inlineStr">
        <is>
          <t>Hardware component replacement</t>
        </is>
      </c>
      <c r="I60" s="18" t="inlineStr">
        <is>
          <t>Return shipping in the continental US</t>
        </is>
      </c>
      <c r="J60" s="17" t="inlineStr">
        <is>
          <t>B</t>
        </is>
      </c>
      <c r="K60" s="19" t="inlineStr">
        <is>
          <t>📱 Q159번 풀기</t>
        </is>
      </c>
    </row>
    <row r="61">
      <c r="A61" s="20" t="inlineStr">
        <is>
          <t>Q160</t>
        </is>
      </c>
      <c r="B61" s="20" t="inlineStr">
        <is>
          <t>Part 7</t>
        </is>
      </c>
      <c r="C61" s="21" t="inlineStr">
        <is>
          <t>Procedure (서비스 승인 후 절차)</t>
        </is>
      </c>
      <c r="D61" s="21" t="inlineStr">
        <is>
          <t>What will Lumina Audio email to approved customers?</t>
        </is>
      </c>
      <c r="E61" s="21" t="inlineStr">
        <is>
          <t>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F61" s="21" t="inlineStr">
        <is>
          <t>A full cash refund receipt</t>
        </is>
      </c>
      <c r="G61" s="21" t="inlineStr">
        <is>
          <t>A prepaid shipping label</t>
        </is>
      </c>
      <c r="H61" s="21" t="inlineStr">
        <is>
          <t>A digital discount coupon</t>
        </is>
      </c>
      <c r="I61" s="21" t="inlineStr">
        <is>
          <t>An instruction manual</t>
        </is>
      </c>
      <c r="J61" s="20" t="inlineStr">
        <is>
          <t>B</t>
        </is>
      </c>
      <c r="K61" s="22" t="inlineStr">
        <is>
          <t>📱 Q160번 풀기</t>
        </is>
      </c>
    </row>
    <row r="62">
      <c r="A62" s="17" t="inlineStr">
        <is>
          <t>Q161</t>
        </is>
      </c>
      <c r="B62" s="17" t="inlineStr">
        <is>
          <t>Part 7</t>
        </is>
      </c>
      <c r="C62" s="18" t="inlineStr">
        <is>
          <t>Main Idea (기사 주요 내용)</t>
        </is>
      </c>
      <c r="D62" s="18" t="inlineStr">
        <is>
          <t>What is the article mainly about?</t>
        </is>
      </c>
      <c r="E62" s="18" t="inlineStr">
        <is>
          <t>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F62" s="18" t="inlineStr">
        <is>
          <t>A corporate bankruptcy filing</t>
        </is>
      </c>
      <c r="G62" s="18" t="inlineStr">
        <is>
          <t>A successful funding round for a clean energy company</t>
        </is>
      </c>
      <c r="H62" s="18" t="inlineStr">
        <is>
          <t>A merger between two automotive manufacturers</t>
        </is>
      </c>
      <c r="I62" s="18" t="inlineStr">
        <is>
          <t>A city council election in Round Rock</t>
        </is>
      </c>
      <c r="J62" s="17" t="inlineStr">
        <is>
          <t>B</t>
        </is>
      </c>
      <c r="K62" s="19" t="inlineStr">
        <is>
          <t>📱 Q161번 풀기</t>
        </is>
      </c>
    </row>
    <row r="63">
      <c r="A63" s="20" t="inlineStr">
        <is>
          <t>Q162</t>
        </is>
      </c>
      <c r="B63" s="20" t="inlineStr">
        <is>
          <t>Part 7</t>
        </is>
      </c>
      <c r="C63" s="21" t="inlineStr">
        <is>
          <t>Detail (투자금 사용처)</t>
        </is>
      </c>
      <c r="D63" s="21" t="inlineStr">
        <is>
          <t>How will CleanVolt primarily use the new capital?</t>
        </is>
      </c>
      <c r="E63" s="21" t="inlineStr">
        <is>
          <t>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F63" s="21" t="inlineStr">
        <is>
          <t>To acquire a European competitor</t>
        </is>
      </c>
      <c r="G63" s="21" t="inlineStr">
        <is>
          <t>To build a new manufacturing facility in Round Rock</t>
        </is>
      </c>
      <c r="H63" s="21" t="inlineStr">
        <is>
          <t>To settle outstanding patent lawsuits</t>
        </is>
      </c>
      <c r="I63" s="21" t="inlineStr">
        <is>
          <t>To pay dividends to early shareholders</t>
        </is>
      </c>
      <c r="J63" s="20" t="inlineStr">
        <is>
          <t>B</t>
        </is>
      </c>
      <c r="K63" s="22" t="inlineStr">
        <is>
          <t>📱 Q162번 풀기</t>
        </is>
      </c>
    </row>
    <row r="64">
      <c r="A64" s="17" t="inlineStr">
        <is>
          <t>Q163</t>
        </is>
      </c>
      <c r="B64" s="17" t="inlineStr">
        <is>
          <t>Part 7</t>
        </is>
      </c>
      <c r="C64" s="18" t="inlineStr">
        <is>
          <t>Inference (시의회 혜택)</t>
        </is>
      </c>
      <c r="D64" s="18" t="inlineStr">
        <is>
          <t>What did the Round Rock municipal council provide to CleanVolt?</t>
        </is>
      </c>
      <c r="E64" s="18" t="inlineStr">
        <is>
          <t>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F64" s="18" t="inlineStr">
        <is>
          <t>Free industrial electricity</t>
        </is>
      </c>
      <c r="G64" s="18" t="inlineStr">
        <is>
          <t>A ten-year property tax abatement</t>
        </is>
      </c>
      <c r="H64" s="18" t="inlineStr">
        <is>
          <t>Free building construction materials</t>
        </is>
      </c>
      <c r="I64" s="18" t="inlineStr">
        <is>
          <t>Government research contracts</t>
        </is>
      </c>
      <c r="J64" s="17" t="inlineStr">
        <is>
          <t>B</t>
        </is>
      </c>
      <c r="K64" s="19" t="inlineStr">
        <is>
          <t>📱 Q163번 풀기</t>
        </is>
      </c>
    </row>
    <row r="65">
      <c r="A65" s="20" t="inlineStr">
        <is>
          <t>Q164</t>
        </is>
      </c>
      <c r="B65" s="20" t="inlineStr">
        <is>
          <t>Part 7</t>
        </is>
      </c>
      <c r="C65" s="21" t="inlineStr">
        <is>
          <t>Topic (대화 주제)</t>
        </is>
      </c>
      <c r="D65" s="21" t="inlineStr">
        <is>
          <t>What are the chat participants discussing?</t>
        </is>
      </c>
      <c r="E65" s="21" t="inlineStr">
        <is>
          <t>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F65" s="21" t="inlineStr">
        <is>
          <t>Office supply restocking</t>
        </is>
      </c>
      <c r="G65" s="21" t="inlineStr">
        <is>
          <t>Software beta testing and launch readiness</t>
        </is>
      </c>
      <c r="H65" s="21" t="inlineStr">
        <is>
          <t>Annual employee performance evaluations</t>
        </is>
      </c>
      <c r="I65" s="21" t="inlineStr">
        <is>
          <t>A budget allocation dispute</t>
        </is>
      </c>
      <c r="J65" s="20" t="inlineStr">
        <is>
          <t>B</t>
        </is>
      </c>
      <c r="K65" s="22" t="inlineStr">
        <is>
          <t>📱 Q164번 풀기</t>
        </is>
      </c>
    </row>
    <row r="66">
      <c r="A66" s="17" t="inlineStr">
        <is>
          <t>Q165</t>
        </is>
      </c>
      <c r="B66" s="17" t="inlineStr">
        <is>
          <t>Part 7</t>
        </is>
      </c>
      <c r="C66" s="18" t="inlineStr">
        <is>
          <t>Problem (발생한 결함)</t>
        </is>
      </c>
      <c r="D66" s="18" t="inlineStr">
        <is>
          <t>What issue did Jason Miller report?</t>
        </is>
      </c>
      <c r="E66" s="18" t="inlineStr">
        <is>
          <t>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F66" s="18" t="inlineStr">
        <is>
          <t>The servers completely crashed.</t>
        </is>
      </c>
      <c r="G66" s="18" t="inlineStr">
        <is>
          <t>Payment timeout errors occurred during checkout.</t>
        </is>
      </c>
      <c r="H66" s="18" t="inlineStr">
        <is>
          <t>Customer passwords were leaked.</t>
        </is>
      </c>
      <c r="I66" s="18" t="inlineStr">
        <is>
          <t>The network cable was unplugged.</t>
        </is>
      </c>
      <c r="J66" s="17" t="inlineStr">
        <is>
          <t>B</t>
        </is>
      </c>
      <c r="K66" s="19" t="inlineStr">
        <is>
          <t>📱 Q165번 풀기</t>
        </is>
      </c>
    </row>
    <row r="67">
      <c r="A67" s="20" t="inlineStr">
        <is>
          <t>Q166</t>
        </is>
      </c>
      <c r="B67" s="20" t="inlineStr">
        <is>
          <t>Part 7</t>
        </is>
      </c>
      <c r="C67" s="21" t="inlineStr">
        <is>
          <t>Detail (Sarah의 작업 일정)</t>
        </is>
      </c>
      <c r="D67" s="21" t="inlineStr">
        <is>
          <t>When does Sarah Jenkins expect to deploy the hotfix?</t>
        </is>
      </c>
      <c r="E67" s="21" t="inlineStr">
        <is>
          <t>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F67" s="21" t="inlineStr">
        <is>
          <t>By 2:15 P.M.</t>
        </is>
      </c>
      <c r="G67" s="21" t="inlineStr">
        <is>
          <t>By 4:15 P.M.</t>
        </is>
      </c>
      <c r="H67" s="21" t="inlineStr">
        <is>
          <t>By 5:00 P.M.</t>
        </is>
      </c>
      <c r="I67" s="21" t="inlineStr">
        <is>
          <t>Tomorrow morning</t>
        </is>
      </c>
      <c r="J67" s="20" t="inlineStr">
        <is>
          <t>B</t>
        </is>
      </c>
      <c r="K67" s="22" t="inlineStr">
        <is>
          <t>📱 Q166번 풀기</t>
        </is>
      </c>
    </row>
    <row r="68">
      <c r="A68" s="17" t="inlineStr">
        <is>
          <t>Q167</t>
        </is>
      </c>
      <c r="B68" s="17" t="inlineStr">
        <is>
          <t>Part 7</t>
        </is>
      </c>
      <c r="C68" s="18" t="inlineStr">
        <is>
          <t>Inference (익일 오전 일정)</t>
        </is>
      </c>
      <c r="D68" s="18" t="inlineStr">
        <is>
          <t>What will the team do tomorrow at 9:00 A.M.?</t>
        </is>
      </c>
      <c r="E68" s="18" t="inlineStr">
        <is>
          <t>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F68" s="18" t="inlineStr">
        <is>
          <t>Launch the software to the public</t>
        </is>
      </c>
      <c r="G68" s="18" t="inlineStr">
        <is>
          <t>Meet online to examine overnight test results</t>
        </is>
      </c>
      <c r="H68" s="18" t="inlineStr">
        <is>
          <t>Conduct in-person job interviews</t>
        </is>
      </c>
      <c r="I68" s="18" t="inlineStr">
        <is>
          <t>Sign a vendor contract</t>
        </is>
      </c>
      <c r="J68" s="17" t="inlineStr">
        <is>
          <t>B</t>
        </is>
      </c>
      <c r="K68" s="19" t="inlineStr">
        <is>
          <t>📱 Q167번 풀기</t>
        </is>
      </c>
    </row>
    <row r="69">
      <c r="A69" s="20" t="inlineStr">
        <is>
          <t>Q168</t>
        </is>
      </c>
      <c r="B69" s="20" t="inlineStr">
        <is>
          <t>Part 7</t>
        </is>
      </c>
      <c r="C69" s="21" t="inlineStr">
        <is>
          <t>Main Topic (뉴스레터 기사 주제)</t>
        </is>
      </c>
      <c r="D69" s="21" t="inlineStr">
        <is>
          <t>Why is the Denver branch featured in the newsletter?</t>
        </is>
      </c>
      <c r="E69" s="21" t="inlineStr">
        <is>
          <t>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F69" s="21" t="inlineStr">
        <is>
          <t>It is moving to a new office building.</t>
        </is>
      </c>
      <c r="G69" s="21" t="inlineStr">
        <is>
          <t>It was selected as Branch of the Quarter.</t>
        </is>
      </c>
      <c r="H69" s="21" t="inlineStr">
        <is>
          <t>It recently hired a new general manager.</t>
        </is>
      </c>
      <c r="I69" s="21" t="inlineStr">
        <is>
          <t>It resolved a major corporate lawsuit.</t>
        </is>
      </c>
      <c r="J69" s="20" t="inlineStr">
        <is>
          <t>B</t>
        </is>
      </c>
      <c r="K69" s="22" t="inlineStr">
        <is>
          <t>📱 Q168번 풀기</t>
        </is>
      </c>
    </row>
    <row r="70">
      <c r="A70" s="17" t="inlineStr">
        <is>
          <t>Q169</t>
        </is>
      </c>
      <c r="B70" s="17" t="inlineStr">
        <is>
          <t>Part 7</t>
        </is>
      </c>
      <c r="C70" s="18" t="inlineStr">
        <is>
          <t>Detail (ExpressDeploy 도입 효과)</t>
        </is>
      </c>
      <c r="D70" s="18" t="inlineStr">
        <is>
          <t>What was an outcome of the 'ExpressDeploy' protocol?</t>
        </is>
      </c>
      <c r="E70" s="18" t="inlineStr">
        <is>
          <t>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F70" s="18" t="inlineStr">
        <is>
          <t>Employee turnover decreased by half.</t>
        </is>
      </c>
      <c r="G70" s="18" t="inlineStr">
        <is>
          <t>Client deployment time was reduced from 14 to 5 days.</t>
        </is>
      </c>
      <c r="H70" s="18" t="inlineStr">
        <is>
          <t>Office electricity costs were cut by 30%.</t>
        </is>
      </c>
      <c r="I70" s="18" t="inlineStr">
        <is>
          <t>Hardware manufacturing was moved overseas.</t>
        </is>
      </c>
      <c r="J70" s="17" t="inlineStr">
        <is>
          <t>B</t>
        </is>
      </c>
      <c r="K70" s="19" t="inlineStr">
        <is>
          <t>📱 Q169번 풀기</t>
        </is>
      </c>
    </row>
    <row r="71">
      <c r="A71" s="20" t="inlineStr">
        <is>
          <t>Q170</t>
        </is>
      </c>
      <c r="B71" s="20" t="inlineStr">
        <is>
          <t>Part 7</t>
        </is>
      </c>
      <c r="C71" s="21" t="inlineStr">
        <is>
          <t>Detail (지역사회 공헌 활동)</t>
        </is>
      </c>
      <c r="D71" s="21" t="inlineStr">
        <is>
          <t>What community volunteer work did Denver employees perform?</t>
        </is>
      </c>
      <c r="E71" s="21" t="inlineStr">
        <is>
          <t>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F71" s="21" t="inlineStr">
        <is>
          <t>Serving meals at an animal shelter</t>
        </is>
      </c>
      <c r="G71" s="21" t="inlineStr">
        <is>
          <t>Mentoring high school students in coding and robotics</t>
        </is>
      </c>
      <c r="H71" s="21" t="inlineStr">
        <is>
          <t>Planting trees in national parks</t>
        </is>
      </c>
      <c r="I71" s="21" t="inlineStr">
        <is>
          <t>Organizing a charity golf tournament</t>
        </is>
      </c>
      <c r="J71" s="20" t="inlineStr">
        <is>
          <t>B</t>
        </is>
      </c>
      <c r="K71" s="22" t="inlineStr">
        <is>
          <t>📱 Q170번 풀기</t>
        </is>
      </c>
    </row>
    <row r="72">
      <c r="A72" s="17" t="inlineStr">
        <is>
          <t>Q171</t>
        </is>
      </c>
      <c r="B72" s="17" t="inlineStr">
        <is>
          <t>Part 7</t>
        </is>
      </c>
      <c r="C72" s="18" t="inlineStr">
        <is>
          <t>Detail (직원 포상 내역)</t>
        </is>
      </c>
      <c r="D72" s="18" t="inlineStr">
        <is>
          <t>What reward will Denver staff members receive?</t>
        </is>
      </c>
      <c r="E72" s="18" t="inlineStr">
        <is>
          <t>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F72" s="18" t="inlineStr">
        <is>
          <t>An airline travel voucher</t>
        </is>
      </c>
      <c r="G72" s="18" t="inlineStr">
        <is>
          <t>A commemorative plaque and a paid day off</t>
        </is>
      </c>
      <c r="H72" s="18" t="inlineStr">
        <is>
          <t>A free laptop computer</t>
        </is>
      </c>
      <c r="I72" s="18" t="inlineStr">
        <is>
          <t>Stock shares in the company</t>
        </is>
      </c>
      <c r="J72" s="17" t="inlineStr">
        <is>
          <t>B</t>
        </is>
      </c>
      <c r="K72" s="19" t="inlineStr">
        <is>
          <t>📱 Q171번 풀기</t>
        </is>
      </c>
    </row>
    <row r="73">
      <c r="A73" s="20" t="inlineStr">
        <is>
          <t>Q172</t>
        </is>
      </c>
      <c r="B73" s="20" t="inlineStr">
        <is>
          <t>Part 7</t>
        </is>
      </c>
      <c r="C73" s="21" t="inlineStr">
        <is>
          <t>Detail (세션 시간 및 장소)</t>
        </is>
      </c>
      <c r="D73" s="21" t="inlineStr">
        <is>
          <t>Which session will take place in Hall B?</t>
        </is>
      </c>
      <c r="E73" s="21" t="inlineStr">
        <is>
          <t>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F73" s="21" t="inlineStr">
        <is>
          <t>Designing for Climate Resilience</t>
        </is>
      </c>
      <c r="G73" s="21" t="inlineStr">
        <is>
          <t>Smart Glass and Energy Efficiency</t>
        </is>
      </c>
      <c r="H73" s="21" t="inlineStr">
        <is>
          <t>Prefabricated Modular Construction</t>
        </is>
      </c>
      <c r="I73" s="21" t="inlineStr">
        <is>
          <t>Adaptive Reuse</t>
        </is>
      </c>
      <c r="J73" s="20" t="inlineStr">
        <is>
          <t>B</t>
        </is>
      </c>
      <c r="K73" s="22" t="inlineStr">
        <is>
          <t>📱 Q172번 풀기</t>
        </is>
      </c>
    </row>
    <row r="74">
      <c r="A74" s="17" t="inlineStr">
        <is>
          <t>Q173</t>
        </is>
      </c>
      <c r="B74" s="17" t="inlineStr">
        <is>
          <t>Part 7</t>
        </is>
      </c>
      <c r="C74" s="18" t="inlineStr">
        <is>
          <t>Topic Matching (스마트 글래스 절감 효과)</t>
        </is>
      </c>
      <c r="D74" s="18" t="inlineStr">
        <is>
          <t>According to the schedule, what benefit of electrochromic glass will be discussed?</t>
        </is>
      </c>
      <c r="E74" s="18" t="inlineStr">
        <is>
          <t>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F74" s="18" t="inlineStr">
        <is>
          <t>Lowering manufacturing costs by 50%</t>
        </is>
      </c>
      <c r="G74" s="18" t="inlineStr">
        <is>
          <t>Reducing air conditioning loads by up to 35%</t>
        </is>
      </c>
      <c r="H74" s="18" t="inlineStr">
        <is>
          <t>Preventing earthquake damage</t>
        </is>
      </c>
      <c r="I74" s="18" t="inlineStr">
        <is>
          <t>Eliminating the need for window cleaning</t>
        </is>
      </c>
      <c r="J74" s="17" t="inlineStr">
        <is>
          <t>B</t>
        </is>
      </c>
      <c r="K74" s="19" t="inlineStr">
        <is>
          <t>📱 Q173번 풀기</t>
        </is>
      </c>
    </row>
    <row r="75">
      <c r="A75" s="20" t="inlineStr">
        <is>
          <t>Q174</t>
        </is>
      </c>
      <c r="B75" s="20" t="inlineStr">
        <is>
          <t>Part 7</t>
        </is>
      </c>
      <c r="C75" s="21" t="inlineStr">
        <is>
          <t>Speaker Bio (Samuel Briggs의 발표 주제)</t>
        </is>
      </c>
      <c r="D75" s="21" t="inlineStr">
        <is>
          <t>What will Samuel Briggs demonstrate during his workshop?</t>
        </is>
      </c>
      <c r="E75" s="21" t="inlineStr">
        <is>
          <t>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F75" s="21" t="inlineStr">
        <is>
          <t>Historic brick restoration</t>
        </is>
      </c>
      <c r="G75" s="21" t="inlineStr">
        <is>
          <t>Pre-cast concrete modular assembly</t>
        </is>
      </c>
      <c r="H75" s="21" t="inlineStr">
        <is>
          <t>Installing solar roof panels</t>
        </is>
      </c>
      <c r="I75" s="21" t="inlineStr">
        <is>
          <t>Zoning permit legal applications</t>
        </is>
      </c>
      <c r="J75" s="20" t="inlineStr">
        <is>
          <t>B</t>
        </is>
      </c>
      <c r="K75" s="22" t="inlineStr">
        <is>
          <t>📱 Q174번 풀기</t>
        </is>
      </c>
    </row>
    <row r="76">
      <c r="A76" s="17" t="inlineStr">
        <is>
          <t>Q175</t>
        </is>
      </c>
      <c r="B76" s="17" t="inlineStr">
        <is>
          <t>Part 7</t>
        </is>
      </c>
      <c r="C76" s="18" t="inlineStr">
        <is>
          <t>Target Audience (역사적 건물 개조 세션)</t>
        </is>
      </c>
      <c r="D76" s="18" t="inlineStr">
        <is>
          <t>What topic will Clara Higgins address in Hall C?</t>
        </is>
      </c>
      <c r="E76" s="18" t="inlineStr">
        <is>
          <t>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F76" s="18" t="inlineStr">
        <is>
          <t>Transforming historic industrial buildings into offices</t>
        </is>
      </c>
      <c r="G76" s="18" t="inlineStr">
        <is>
          <t>Building sea walls for flood prevention</t>
        </is>
      </c>
      <c r="H76" s="18" t="inlineStr">
        <is>
          <t>Manufacturing high-strength structural steel</t>
        </is>
      </c>
      <c r="I76" s="18" t="inlineStr">
        <is>
          <t>Writing corporate environmental sustainability reports</t>
        </is>
      </c>
      <c r="J76" s="17" t="inlineStr">
        <is>
          <t>A</t>
        </is>
      </c>
      <c r="K76" s="19" t="inlineStr">
        <is>
          <t>📱 Q175번 풀기</t>
        </is>
      </c>
    </row>
    <row r="77">
      <c r="A77" s="20" t="inlineStr">
        <is>
          <t>Q176</t>
        </is>
      </c>
      <c r="B77" s="20" t="inlineStr">
        <is>
          <t>Part 7</t>
        </is>
      </c>
      <c r="C77" s="21" t="inlineStr">
        <is>
          <t>Purpose (문서 1 목적)</t>
        </is>
      </c>
      <c r="D77" s="21" t="inlineStr">
        <is>
          <t>What is the main purpose of Rachel Vance's email?</t>
        </is>
      </c>
      <c r="E77" s="21" t="inlineStr">
        <is>
          <t>[DOCUMENT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F77" s="21" t="inlineStr">
        <is>
          <t>To complain about poor catering service</t>
        </is>
      </c>
      <c r="G77" s="21" t="inlineStr">
        <is>
          <t>To request a proposal for an upcoming corporate gala</t>
        </is>
      </c>
      <c r="H77" s="21" t="inlineStr">
        <is>
          <t>To apply for a banquet manager job</t>
        </is>
      </c>
      <c r="I77" s="21" t="inlineStr">
        <is>
          <t>To cancel a reservation at the Harborside Pavilion</t>
        </is>
      </c>
      <c r="J77" s="20" t="inlineStr">
        <is>
          <t>B</t>
        </is>
      </c>
      <c r="K77" s="22" t="inlineStr">
        <is>
          <t>📱 Q176번 풀기</t>
        </is>
      </c>
    </row>
    <row r="78">
      <c r="A78" s="17" t="inlineStr">
        <is>
          <t>Q177</t>
        </is>
      </c>
      <c r="B78" s="17" t="inlineStr">
        <is>
          <t>Part 7</t>
        </is>
      </c>
      <c r="C78" s="18" t="inlineStr">
        <is>
          <t>Cross-Reference (연계 문제: 식이 요구사항 메뉴)</t>
        </is>
      </c>
      <c r="D78" s="18" t="inlineStr">
        <is>
          <t>Which entrée option meets the dietary needs mentioned in Rachel Vance's email?</t>
        </is>
      </c>
      <c r="E78" s="18" t="inlineStr">
        <is>
          <t>[DOCUMENT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F78" s="18" t="inlineStr">
        <is>
          <t>Herb-crusted beef tenderloin</t>
        </is>
      </c>
      <c r="G78" s="18" t="inlineStr">
        <is>
          <t>Mini crab cakes</t>
        </is>
      </c>
      <c r="H78" s="18" t="inlineStr">
        <is>
          <t>Roasted butternut squash risotto</t>
        </is>
      </c>
      <c r="I78" s="18" t="inlineStr">
        <is>
          <t>Smoked duck skewers</t>
        </is>
      </c>
      <c r="J78" s="17" t="inlineStr">
        <is>
          <t>C</t>
        </is>
      </c>
      <c r="K78" s="19" t="inlineStr">
        <is>
          <t>📱 Q177번 풀기</t>
        </is>
      </c>
    </row>
    <row r="79">
      <c r="A79" s="20" t="inlineStr">
        <is>
          <t>Q178</t>
        </is>
      </c>
      <c r="B79" s="20" t="inlineStr">
        <is>
          <t>Part 7</t>
        </is>
      </c>
      <c r="C79" s="21" t="inlineStr">
        <is>
          <t>Detail (바텐더 인원 수)</t>
        </is>
      </c>
      <c r="D79" s="21" t="inlineStr">
        <is>
          <t>How many certified bartenders are included in the quotation?</t>
        </is>
      </c>
      <c r="E79" s="21" t="inlineStr">
        <is>
          <t>[DOCUMENT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F79" s="21" t="inlineStr">
        <is>
          <t>One</t>
        </is>
      </c>
      <c r="G79" s="21" t="inlineStr">
        <is>
          <t>Two</t>
        </is>
      </c>
      <c r="H79" s="21" t="inlineStr">
        <is>
          <t>Four</t>
        </is>
      </c>
      <c r="I79" s="21" t="inlineStr">
        <is>
          <t>Six</t>
        </is>
      </c>
      <c r="J79" s="20" t="inlineStr">
        <is>
          <t>B</t>
        </is>
      </c>
      <c r="K79" s="22" t="inlineStr">
        <is>
          <t>📱 Q178번 풀기</t>
        </is>
      </c>
    </row>
    <row r="80">
      <c r="A80" s="17" t="inlineStr">
        <is>
          <t>Q179</t>
        </is>
      </c>
      <c r="B80" s="17" t="inlineStr">
        <is>
          <t>Part 7</t>
        </is>
      </c>
      <c r="C80" s="18" t="inlineStr">
        <is>
          <t>Inference (조기 예약 프로모션 혜택)</t>
        </is>
      </c>
      <c r="D80" s="18" t="inlineStr">
        <is>
          <t>What can Vance Technologies receive if they place a deposit by October 25?</t>
        </is>
      </c>
      <c r="E80" s="18" t="inlineStr">
        <is>
          <t>[DOCUMENT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F80" s="18" t="inlineStr">
        <is>
          <t>A 50% discount on bar service</t>
        </is>
      </c>
      <c r="G80" s="18" t="inlineStr">
        <is>
          <t>Free linen and glassware rentals</t>
        </is>
      </c>
      <c r="H80" s="18" t="inlineStr">
        <is>
          <t>Complimentary dessert platters</t>
        </is>
      </c>
      <c r="I80" s="18" t="inlineStr">
        <is>
          <t>Free venue rental at Harborside Pavilion</t>
        </is>
      </c>
      <c r="J80" s="17" t="inlineStr">
        <is>
          <t>C</t>
        </is>
      </c>
      <c r="K80" s="19" t="inlineStr">
        <is>
          <t>📱 Q179번 풀기</t>
        </is>
      </c>
    </row>
    <row r="81">
      <c r="A81" s="20" t="inlineStr">
        <is>
          <t>Q180</t>
        </is>
      </c>
      <c r="B81" s="20" t="inlineStr">
        <is>
          <t>Part 7</t>
        </is>
      </c>
      <c r="C81" s="21" t="inlineStr">
        <is>
          <t>Calculation (음료 총액 계산)</t>
        </is>
      </c>
      <c r="D81" s="21" t="inlineStr">
        <is>
          <t>What is the total cost for the beverage and bar service for 120 guests?</t>
        </is>
      </c>
      <c r="E81" s="21" t="inlineStr">
        <is>
          <t>[DOCUMENT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F81" s="21" t="inlineStr">
        <is>
          <t>$1,200</t>
        </is>
      </c>
      <c r="G81" s="21" t="inlineStr">
        <is>
          <t>$2,200</t>
        </is>
      </c>
      <c r="H81" s="21" t="inlineStr">
        <is>
          <t>$2,640</t>
        </is>
      </c>
      <c r="I81" s="21" t="inlineStr">
        <is>
          <t>$3,500</t>
        </is>
      </c>
      <c r="J81" s="20" t="inlineStr">
        <is>
          <t>C</t>
        </is>
      </c>
      <c r="K81" s="22" t="inlineStr">
        <is>
          <t>📱 Q180번 풀기</t>
        </is>
      </c>
    </row>
    <row r="82">
      <c r="A82" s="17" t="inlineStr">
        <is>
          <t>Q181</t>
        </is>
      </c>
      <c r="B82" s="17" t="inlineStr">
        <is>
          <t>Part 7</t>
        </is>
      </c>
      <c r="C82" s="18" t="inlineStr">
        <is>
          <t>Main Idea (공고 직무)</t>
        </is>
      </c>
      <c r="D82" s="18" t="inlineStr">
        <is>
          <t>What position is being advertised in Document 1?</t>
        </is>
      </c>
      <c r="E82" s="18" t="inlineStr">
        <is>
          <t>[DOCUMENT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F82" s="18" t="inlineStr">
        <is>
          <t>Multimedia Producer</t>
        </is>
      </c>
      <c r="G82" s="18" t="inlineStr">
        <is>
          <t>Senior Investigative Journalist</t>
        </is>
      </c>
      <c r="H82" s="18" t="inlineStr">
        <is>
          <t>Advertising Sales Director</t>
        </is>
      </c>
      <c r="I82" s="18" t="inlineStr">
        <is>
          <t>Podcast Sound Engineer</t>
        </is>
      </c>
      <c r="J82" s="17" t="inlineStr">
        <is>
          <t>B</t>
        </is>
      </c>
      <c r="K82" s="19" t="inlineStr">
        <is>
          <t>📱 Q181번 풀기</t>
        </is>
      </c>
    </row>
    <row r="83">
      <c r="A83" s="20" t="inlineStr">
        <is>
          <t>Q182</t>
        </is>
      </c>
      <c r="B83" s="20" t="inlineStr">
        <is>
          <t>Part 7</t>
        </is>
      </c>
      <c r="C83" s="21" t="inlineStr">
        <is>
          <t>Requirement Matching (자격 요건 충족 확인)</t>
        </is>
      </c>
      <c r="D83" s="21" t="inlineStr">
        <is>
          <t>According to Document 1, what qualification is considered advantageous?</t>
        </is>
      </c>
      <c r="E83" s="21" t="inlineStr">
        <is>
          <t>[DOCUMENT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F83" s="21" t="inlineStr">
        <is>
          <t>Fluency in Spanish and French</t>
        </is>
      </c>
      <c r="G83" s="21" t="inlineStr">
        <is>
          <t>Experience with data analysis tools such as SQL or Excel</t>
        </is>
      </c>
      <c r="H83" s="21" t="inlineStr">
        <is>
          <t>A law school doctorate degree</t>
        </is>
      </c>
      <c r="I83" s="21" t="inlineStr">
        <is>
          <t>Commercial pilot license</t>
        </is>
      </c>
      <c r="J83" s="20" t="inlineStr">
        <is>
          <t>B</t>
        </is>
      </c>
      <c r="K83" s="22" t="inlineStr">
        <is>
          <t>📱 Q182번 풀기</t>
        </is>
      </c>
    </row>
    <row r="84">
      <c r="A84" s="17" t="inlineStr">
        <is>
          <t>Q183</t>
        </is>
      </c>
      <c r="B84" s="17" t="inlineStr">
        <is>
          <t>Part 7</t>
        </is>
      </c>
      <c r="C84" s="18" t="inlineStr">
        <is>
          <t>Cross-Reference (지원자의 경력 기간)</t>
        </is>
      </c>
      <c r="D84" s="18" t="inlineStr">
        <is>
          <t>How does Simon Bradley's reporting experience compare to the minimum requirement?</t>
        </is>
      </c>
      <c r="E84" s="18" t="inlineStr">
        <is>
          <t>[DOCUMENT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F84" s="18" t="inlineStr">
        <is>
          <t>He has two years less than required.</t>
        </is>
      </c>
      <c r="G84" s="18" t="inlineStr">
        <is>
          <t>He meets the requirement with exactly five years.</t>
        </is>
      </c>
      <c r="H84" s="18" t="inlineStr">
        <is>
          <t>He exceeds the requirement with seven years of experience.</t>
        </is>
      </c>
      <c r="I84" s="18" t="inlineStr">
        <is>
          <t>He does not have any print journalism experience.</t>
        </is>
      </c>
      <c r="J84" s="17" t="inlineStr">
        <is>
          <t>C</t>
        </is>
      </c>
      <c r="K84" s="19" t="inlineStr">
        <is>
          <t>📱 Q183번 풀기</t>
        </is>
      </c>
    </row>
    <row r="85">
      <c r="A85" s="20" t="inlineStr">
        <is>
          <t>Q184</t>
        </is>
      </c>
      <c r="B85" s="20" t="inlineStr">
        <is>
          <t>Part 7</t>
        </is>
      </c>
      <c r="C85" s="21" t="inlineStr">
        <is>
          <t>Detail (Simon Bradley의 과거 취재 분야)</t>
        </is>
      </c>
      <c r="D85" s="21" t="inlineStr">
        <is>
          <t>What issue did Simon Bradley's award-winning series address?</t>
        </is>
      </c>
      <c r="E85" s="21" t="inlineStr">
        <is>
          <t>[DOCUMENT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F85" s="21" t="inlineStr">
        <is>
          <t>Urban public transit funding</t>
        </is>
      </c>
      <c r="G85" s="21" t="inlineStr">
        <is>
          <t>Illegal chemical runoff into waterways</t>
        </is>
      </c>
      <c r="H85" s="21" t="inlineStr">
        <is>
          <t>Airline safety regulations</t>
        </is>
      </c>
      <c r="I85" s="21" t="inlineStr">
        <is>
          <t>Hospital emergency room overcrowding</t>
        </is>
      </c>
      <c r="J85" s="20" t="inlineStr">
        <is>
          <t>B</t>
        </is>
      </c>
      <c r="K85" s="22" t="inlineStr">
        <is>
          <t>📱 Q184번 풀기</t>
        </is>
      </c>
    </row>
    <row r="86">
      <c r="A86" s="17" t="inlineStr">
        <is>
          <t>Q185</t>
        </is>
      </c>
      <c r="B86" s="17" t="inlineStr">
        <is>
          <t>Part 7</t>
        </is>
      </c>
      <c r="C86" s="18" t="inlineStr">
        <is>
          <t>Detail (이메일에 첨부된 서류)</t>
        </is>
      </c>
      <c r="D86" s="18" t="inlineStr">
        <is>
          <t>What did Simon Bradley attach to his email?</t>
        </is>
      </c>
      <c r="E86" s="18" t="inlineStr">
        <is>
          <t>[DOCUMENT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F86" s="18" t="inlineStr">
        <is>
          <t>A college diploma and transcript</t>
        </is>
      </c>
      <c r="G86" s="18" t="inlineStr">
        <is>
          <t>His resume, three writing samples, and recommendation letters</t>
        </is>
      </c>
      <c r="H86" s="18" t="inlineStr">
        <is>
          <t>A video documentary portfolio</t>
        </is>
      </c>
      <c r="I86" s="18" t="inlineStr">
        <is>
          <t>An unedited audio podcast recording</t>
        </is>
      </c>
      <c r="J86" s="17" t="inlineStr">
        <is>
          <t>B</t>
        </is>
      </c>
      <c r="K86" s="19" t="inlineStr">
        <is>
          <t>📱 Q185번 풀기</t>
        </is>
      </c>
    </row>
    <row r="87">
      <c r="A87" s="20" t="inlineStr">
        <is>
          <t>Q186</t>
        </is>
      </c>
      <c r="B87" s="20" t="inlineStr">
        <is>
          <t>Part 7</t>
        </is>
      </c>
      <c r="C87" s="21" t="inlineStr">
        <is>
          <t>Detail (문서 1 일반 입장권 요금)</t>
        </is>
      </c>
      <c r="D87" s="21" t="inlineStr">
        <is>
          <t>How much is the general admission pass for the summit?</t>
        </is>
      </c>
      <c r="E87" s="21" t="inlineStr">
        <is>
          <t>[DOCUMENT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F87" s="21" t="inlineStr">
        <is>
          <t>$65.00</t>
        </is>
      </c>
      <c r="G87" s="21" t="inlineStr">
        <is>
          <t>$90.00</t>
        </is>
      </c>
      <c r="H87" s="21" t="inlineStr">
        <is>
          <t>$150.00</t>
        </is>
      </c>
      <c r="I87" s="21" t="inlineStr">
        <is>
          <t>$170.00</t>
        </is>
      </c>
      <c r="J87" s="20" t="inlineStr">
        <is>
          <t>C</t>
        </is>
      </c>
      <c r="K87" s="22" t="inlineStr">
        <is>
          <t>📱 Q186번 풀기</t>
        </is>
      </c>
    </row>
    <row r="88">
      <c r="A88" s="17" t="inlineStr">
        <is>
          <t>Q187</t>
        </is>
      </c>
      <c r="B88" s="17" t="inlineStr">
        <is>
          <t>Part 7</t>
        </is>
      </c>
      <c r="C88" s="18" t="inlineStr">
        <is>
          <t>Cross-Reference (Claudia Reyes의 일정)</t>
        </is>
      </c>
      <c r="D88" s="18" t="inlineStr">
        <is>
          <t>According to Documents 1 and 2, what time was Dr. Reyes's first workshop scheduled to begin?</t>
        </is>
      </c>
      <c r="E88" s="18" t="inlineStr">
        <is>
          <t>[DOCUMENT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F88" s="18" t="inlineStr">
        <is>
          <t>9:00 A.M.</t>
        </is>
      </c>
      <c r="G88" s="18" t="inlineStr">
        <is>
          <t>11:00 A.M.</t>
        </is>
      </c>
      <c r="H88" s="18" t="inlineStr">
        <is>
          <t>2:00 P.M.</t>
        </is>
      </c>
      <c r="I88" s="18" t="inlineStr">
        <is>
          <t>4:00 P.M.</t>
        </is>
      </c>
      <c r="J88" s="17" t="inlineStr">
        <is>
          <t>B</t>
        </is>
      </c>
      <c r="K88" s="19" t="inlineStr">
        <is>
          <t>📱 Q187번 풀기</t>
        </is>
      </c>
    </row>
    <row r="89">
      <c r="A89" s="20" t="inlineStr">
        <is>
          <t>Q188</t>
        </is>
      </c>
      <c r="B89" s="20" t="inlineStr">
        <is>
          <t>Part 7</t>
        </is>
      </c>
      <c r="C89" s="21" t="inlineStr">
        <is>
          <t>Detail (등록 확인서 안내 사항)</t>
        </is>
      </c>
      <c r="D89" s="21" t="inlineStr">
        <is>
          <t>Where should Dr. Reyes pick up her summit badge?</t>
        </is>
      </c>
      <c r="E89" s="21" t="inlineStr">
        <is>
          <t>[DOCUMENT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F89" s="21" t="inlineStr">
        <is>
          <t>At the West Parking Lot</t>
        </is>
      </c>
      <c r="G89" s="21" t="inlineStr">
        <is>
          <t>At the East Registration Desk</t>
        </is>
      </c>
      <c r="H89" s="21" t="inlineStr">
        <is>
          <t>At Hall C Information Booth</t>
        </is>
      </c>
      <c r="I89" s="21" t="inlineStr">
        <is>
          <t>At the airport welcome kiosk</t>
        </is>
      </c>
      <c r="J89" s="20" t="inlineStr">
        <is>
          <t>B</t>
        </is>
      </c>
      <c r="K89" s="22" t="inlineStr">
        <is>
          <t>📱 Q188번 풀기</t>
        </is>
      </c>
    </row>
    <row r="90">
      <c r="A90" s="17" t="inlineStr">
        <is>
          <t>Q189</t>
        </is>
      </c>
      <c r="B90" s="17" t="inlineStr">
        <is>
          <t>Part 7</t>
        </is>
      </c>
      <c r="C90" s="18" t="inlineStr">
        <is>
          <t>Inference (문서 3 피드백 문제점)</t>
        </is>
      </c>
      <c r="D90" s="18" t="inlineStr">
        <is>
          <t>What issue did Dr. Reyes report regarding the Track 3 workshop?</t>
        </is>
      </c>
      <c r="E90" s="18" t="inlineStr">
        <is>
          <t>[DOCUMENT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F90" s="18" t="inlineStr">
        <is>
          <t>The speaker arrived thirty minutes late.</t>
        </is>
      </c>
      <c r="G90" s="18" t="inlineStr">
        <is>
          <t>Handout materials were full of typos.</t>
        </is>
      </c>
      <c r="H90" s="18" t="inlineStr">
        <is>
          <t>There was insufficient seating in the room.</t>
        </is>
      </c>
      <c r="I90" s="18" t="inlineStr">
        <is>
          <t>The projector display was malfunctioning.</t>
        </is>
      </c>
      <c r="J90" s="17" t="inlineStr">
        <is>
          <t>C</t>
        </is>
      </c>
      <c r="K90" s="19" t="inlineStr">
        <is>
          <t>📱 Q189번 풀기</t>
        </is>
      </c>
    </row>
    <row r="91">
      <c r="A91" s="20" t="inlineStr">
        <is>
          <t>Q190</t>
        </is>
      </c>
      <c r="B91" s="20" t="inlineStr">
        <is>
          <t>Part 7</t>
        </is>
      </c>
      <c r="C91" s="21" t="inlineStr">
        <is>
          <t>Vocabulary (outstanding 동의어)</t>
        </is>
      </c>
      <c r="D91" s="21" t="inlineStr">
        <is>
          <t>In Document 3, the word 'outstanding' in paragraph 2 is closest in meaning to:</t>
        </is>
      </c>
      <c r="E91" s="21" t="inlineStr">
        <is>
          <t>[DOCUMENT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F91" s="21" t="inlineStr">
        <is>
          <t>unpaid</t>
        </is>
      </c>
      <c r="G91" s="21" t="inlineStr">
        <is>
          <t>exceptional</t>
        </is>
      </c>
      <c r="H91" s="21" t="inlineStr">
        <is>
          <t>unfinished</t>
        </is>
      </c>
      <c r="I91" s="21" t="inlineStr">
        <is>
          <t>temporary</t>
        </is>
      </c>
      <c r="J91" s="20" t="inlineStr">
        <is>
          <t>B</t>
        </is>
      </c>
      <c r="K91" s="22" t="inlineStr">
        <is>
          <t>📱 Q190번 풀기</t>
        </is>
      </c>
    </row>
    <row r="92">
      <c r="A92" s="17" t="inlineStr">
        <is>
          <t>Q191</t>
        </is>
      </c>
      <c r="B92" s="17" t="inlineStr">
        <is>
          <t>Part 7</t>
        </is>
      </c>
      <c r="C92" s="18" t="inlineStr">
        <is>
          <t>Detail (장갑 단가)</t>
        </is>
      </c>
      <c r="D92" s="18" t="inlineStr">
        <is>
          <t>What is the regular catalog price for the TW-405 work gloves?</t>
        </is>
      </c>
      <c r="E92" s="18" t="inlineStr">
        <is>
          <t>[DOCUMENT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F92" s="18" t="inlineStr">
        <is>
          <t>$25.00</t>
        </is>
      </c>
      <c r="G92" s="18" t="inlineStr">
        <is>
          <t>$55.00</t>
        </is>
      </c>
      <c r="H92" s="18" t="inlineStr">
        <is>
          <t>$85.00</t>
        </is>
      </c>
      <c r="I92" s="18" t="inlineStr">
        <is>
          <t>$120.00</t>
        </is>
      </c>
      <c r="J92" s="17" t="inlineStr">
        <is>
          <t>A</t>
        </is>
      </c>
      <c r="K92" s="19" t="inlineStr">
        <is>
          <t>📱 Q191번 풀기</t>
        </is>
      </c>
    </row>
    <row r="93">
      <c r="A93" s="20" t="inlineStr">
        <is>
          <t>Q192</t>
        </is>
      </c>
      <c r="B93" s="20" t="inlineStr">
        <is>
          <t>Part 7</t>
        </is>
      </c>
      <c r="C93" s="21" t="inlineStr">
        <is>
          <t>Cross-Reference (배송비 무료 혜택)</t>
        </is>
      </c>
      <c r="D93" s="21" t="inlineStr">
        <is>
          <t>Why was shipping free for Purchase Order #PO-9022?</t>
        </is>
      </c>
      <c r="E93" s="21" t="inlineStr">
        <is>
          <t>[DOCUMENT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F93" s="21" t="inlineStr">
        <is>
          <t>Apex used a special promotional coupon code.</t>
        </is>
      </c>
      <c r="G93" s="21" t="inlineStr">
        <is>
          <t>The total order value exceeded $1,500.</t>
        </is>
      </c>
      <c r="H93" s="21" t="inlineStr">
        <is>
          <t>FastFreight Express was offering a holiday promotion.</t>
        </is>
      </c>
      <c r="I93" s="21" t="inlineStr">
        <is>
          <t>Nathan Cole picked up the order in person.</t>
        </is>
      </c>
      <c r="J93" s="20" t="inlineStr">
        <is>
          <t>B</t>
        </is>
      </c>
      <c r="K93" s="22" t="inlineStr">
        <is>
          <t>📱 Q192번 풀기</t>
        </is>
      </c>
    </row>
    <row r="94">
      <c r="A94" s="17" t="inlineStr">
        <is>
          <t>Q193</t>
        </is>
      </c>
      <c r="B94" s="17" t="inlineStr">
        <is>
          <t>Part 7</t>
        </is>
      </c>
      <c r="C94" s="18" t="inlineStr">
        <is>
          <t>Detail (상품 발송 일자)</t>
        </is>
      </c>
      <c r="D94" s="18" t="inlineStr">
        <is>
          <t>When is the initial shipment scheduled to arrive in Columbus?</t>
        </is>
      </c>
      <c r="E94" s="18" t="inlineStr">
        <is>
          <t>[DOCUMENT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F94" s="18" t="inlineStr">
        <is>
          <t>October 14</t>
        </is>
      </c>
      <c r="G94" s="18" t="inlineStr">
        <is>
          <t>October 19</t>
        </is>
      </c>
      <c r="H94" s="18" t="inlineStr">
        <is>
          <t>October 21</t>
        </is>
      </c>
      <c r="I94" s="18" t="inlineStr">
        <is>
          <t>October 22</t>
        </is>
      </c>
      <c r="J94" s="17" t="inlineStr">
        <is>
          <t>C</t>
        </is>
      </c>
      <c r="K94" s="19" t="inlineStr">
        <is>
          <t>📱 Q193번 풀기</t>
        </is>
      </c>
    </row>
    <row r="95">
      <c r="A95" s="20" t="inlineStr">
        <is>
          <t>Q194</t>
        </is>
      </c>
      <c r="B95" s="20" t="inlineStr">
        <is>
          <t>Part 7</t>
        </is>
      </c>
      <c r="C95" s="21" t="inlineStr">
        <is>
          <t>Problem (배송 누락 품목 수량)</t>
        </is>
      </c>
      <c r="D95" s="21" t="inlineStr">
        <is>
          <t>How many TW-204 jackets were backordered?</t>
        </is>
      </c>
      <c r="E95" s="21" t="inlineStr">
        <is>
          <t>[DOCUMENT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F95" s="21" t="inlineStr">
        <is>
          <t>5</t>
        </is>
      </c>
      <c r="G95" s="21" t="inlineStr">
        <is>
          <t>15</t>
        </is>
      </c>
      <c r="H95" s="21" t="inlineStr">
        <is>
          <t>20</t>
        </is>
      </c>
      <c r="I95" s="21" t="inlineStr">
        <is>
          <t>25</t>
        </is>
      </c>
      <c r="J95" s="20" t="inlineStr">
        <is>
          <t>A</t>
        </is>
      </c>
      <c r="K95" s="22" t="inlineStr">
        <is>
          <t>📱 Q194번 풀기</t>
        </is>
      </c>
    </row>
    <row r="96">
      <c r="A96" s="17" t="inlineStr">
        <is>
          <t>Q195</t>
        </is>
      </c>
      <c r="B96" s="17" t="inlineStr">
        <is>
          <t>Part 7</t>
        </is>
      </c>
      <c r="C96" s="18" t="inlineStr">
        <is>
          <t>Inference (고객 보상 혜택)</t>
        </is>
      </c>
      <c r="D96" s="18" t="inlineStr">
        <is>
          <t>What compensation did Titan Customer Care offer to Mr. Cole?</t>
        </is>
      </c>
      <c r="E96" s="18" t="inlineStr">
        <is>
          <t>[DOCUMENT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F96" s="18" t="inlineStr">
        <is>
          <t>A 50% cash refund on his order</t>
        </is>
      </c>
      <c r="G96" s="18" t="inlineStr">
        <is>
          <t>Free safety boots with the next order</t>
        </is>
      </c>
      <c r="H96" s="18" t="inlineStr">
        <is>
          <t>A $50 credit toward his next purchase</t>
        </is>
      </c>
      <c r="I96" s="18" t="inlineStr">
        <is>
          <t>A voucher for free warehouse pickup</t>
        </is>
      </c>
      <c r="J96" s="17" t="inlineStr">
        <is>
          <t>C</t>
        </is>
      </c>
      <c r="K96" s="19" t="inlineStr">
        <is>
          <t>📱 Q195번 풀기</t>
        </is>
      </c>
    </row>
    <row r="97">
      <c r="A97" s="20" t="inlineStr">
        <is>
          <t>Q196</t>
        </is>
      </c>
      <c r="B97" s="20" t="inlineStr">
        <is>
          <t>Part 7</t>
        </is>
      </c>
      <c r="C97" s="21" t="inlineStr">
        <is>
          <t>Cross-Reference (Lumen Capital 임대료 확인)</t>
        </is>
      </c>
      <c r="D97" s="21" t="inlineStr">
        <is>
          <t>According to Document 1, what is the monthly rent for the suite leased by Lumen Capital?</t>
        </is>
      </c>
      <c r="E97" s="21" t="inlineStr">
        <is>
          <t>[DOCUMENT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F97" s="21" t="inlineStr">
        <is>
          <t>$7,500</t>
        </is>
      </c>
      <c r="G97" s="21" t="inlineStr">
        <is>
          <t>$12,500</t>
        </is>
      </c>
      <c r="H97" s="21" t="inlineStr">
        <is>
          <t>$18,000</t>
        </is>
      </c>
      <c r="I97" s="21" t="inlineStr">
        <is>
          <t>$26,000</t>
        </is>
      </c>
      <c r="J97" s="20" t="inlineStr">
        <is>
          <t>B</t>
        </is>
      </c>
      <c r="K97" s="22" t="inlineStr">
        <is>
          <t>📱 Q196번 풀기</t>
        </is>
      </c>
    </row>
    <row r="98">
      <c r="A98" s="17" t="inlineStr">
        <is>
          <t>Q197</t>
        </is>
      </c>
      <c r="B98" s="17" t="inlineStr">
        <is>
          <t>Part 7</t>
        </is>
      </c>
      <c r="C98" s="18" t="inlineStr">
        <is>
          <t>Detail (건물 부대시설)</t>
        </is>
      </c>
      <c r="D98" s="18" t="inlineStr">
        <is>
          <t>What building amenity is available at the Zenith Tower?</t>
        </is>
      </c>
      <c r="E98" s="18" t="inlineStr">
        <is>
          <t>[DOCUMENT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F98" s="18" t="inlineStr">
        <is>
          <t>An outdoor tennis court</t>
        </is>
      </c>
      <c r="G98" s="18" t="inlineStr">
        <is>
          <t>A rooftop conference center with bay views</t>
        </is>
      </c>
      <c r="H98" s="18" t="inlineStr">
        <is>
          <t>A swimming pool on the 10th floor</t>
        </is>
      </c>
      <c r="I98" s="18" t="inlineStr">
        <is>
          <t>A free dry-cleaning service</t>
        </is>
      </c>
      <c r="J98" s="17" t="inlineStr">
        <is>
          <t>B</t>
        </is>
      </c>
      <c r="K98" s="19" t="inlineStr">
        <is>
          <t>📱 Q197번 풀기</t>
        </is>
      </c>
    </row>
    <row r="99">
      <c r="A99" s="20" t="inlineStr">
        <is>
          <t>Q198</t>
        </is>
      </c>
      <c r="B99" s="20" t="inlineStr">
        <is>
          <t>Part 7</t>
        </is>
      </c>
      <c r="C99" s="21" t="inlineStr">
        <is>
          <t>Detail (문서 2 임차인 문제 제기)</t>
        </is>
      </c>
      <c r="D99" s="21" t="inlineStr">
        <is>
          <t>What problem did Derek Foster report regarding Suite 850?</t>
        </is>
      </c>
      <c r="E99" s="21" t="inlineStr">
        <is>
          <t>[DOCUMENT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F99" s="21" t="inlineStr">
        <is>
          <t>The ceiling had water leaks.</t>
        </is>
      </c>
      <c r="G99" s="21" t="inlineStr">
        <is>
          <t>The conference room was uncomfortably cold in the mornings.</t>
        </is>
      </c>
      <c r="H99" s="21" t="inlineStr">
        <is>
          <t>The internet connection was completely down.</t>
        </is>
      </c>
      <c r="I99" s="21" t="inlineStr">
        <is>
          <t>The windows could not be opened.</t>
        </is>
      </c>
      <c r="J99" s="20" t="inlineStr">
        <is>
          <t>B</t>
        </is>
      </c>
      <c r="K99" s="22" t="inlineStr">
        <is>
          <t>📱 Q198번 풀기</t>
        </is>
      </c>
    </row>
    <row r="100">
      <c r="A100" s="17" t="inlineStr">
        <is>
          <t>Q199</t>
        </is>
      </c>
      <c r="B100" s="17" t="inlineStr">
        <is>
          <t>Part 7</t>
        </is>
      </c>
      <c r="C100" s="18" t="inlineStr">
        <is>
          <t>Cross-Reference (수리 엔지니어의 조치)</t>
        </is>
      </c>
      <c r="D100" s="18" t="inlineStr">
        <is>
          <t>What did lead facility engineer Gary Ortiz do to fix the heating issue?</t>
        </is>
      </c>
      <c r="E100" s="18" t="inlineStr">
        <is>
          <t>[DOCUMENT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F100" s="18" t="inlineStr">
        <is>
          <t>He ordered a new furnace from the manufacturer.</t>
        </is>
      </c>
      <c r="G100" s="18" t="inlineStr">
        <is>
          <t>He replaced the digital thermostat unit and calibrated the cycle.</t>
        </is>
      </c>
      <c r="H100" s="18" t="inlineStr">
        <is>
          <t>He insulated the windows with weather stripping.</t>
        </is>
      </c>
      <c r="I100" s="18" t="inlineStr">
        <is>
          <t>He turned off the central air conditioner.</t>
        </is>
      </c>
      <c r="J100" s="17" t="inlineStr">
        <is>
          <t>B</t>
        </is>
      </c>
      <c r="K100" s="19" t="inlineStr">
        <is>
          <t>📱 Q199번 풀기</t>
        </is>
      </c>
    </row>
    <row r="101">
      <c r="A101" s="20" t="inlineStr">
        <is>
          <t>Q200</t>
        </is>
      </c>
      <c r="B101" s="20" t="inlineStr">
        <is>
          <t>Part 7</t>
        </is>
      </c>
      <c r="C101" s="21" t="inlineStr">
        <is>
          <t>Inference (화장실 도어 센서 수리 내역)</t>
        </is>
      </c>
      <c r="D101" s="21" t="inlineStr">
        <is>
          <t>According to Document 3, why was the restroom door failing to unlock properly?</t>
        </is>
      </c>
      <c r="E101" s="21" t="inlineStr">
        <is>
          <t>[DOCUMENT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F101" s="21" t="inlineStr">
        <is>
          <t>The door lock motor was burned out.</t>
        </is>
      </c>
      <c r="G101" s="21" t="inlineStr">
        <is>
          <t>Dust had accumulated on the optical lens and the battery was weak.</t>
        </is>
      </c>
      <c r="H101" s="21" t="inlineStr">
        <is>
          <t>The tenant entered an incorrect security PIN code.</t>
        </is>
      </c>
      <c r="I101" s="21" t="inlineStr">
        <is>
          <t>The main power breaker was switched off.</t>
        </is>
      </c>
      <c r="J101" s="20" t="inlineStr">
        <is>
          <t>B</t>
        </is>
      </c>
      <c r="K101" s="22" t="inlineStr">
        <is>
          <t>📱 Q200번 풀기</t>
        </is>
      </c>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1"/>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45" customWidth="1" min="4" max="4"/>
    <col width="42" customWidth="1" min="5" max="5"/>
    <col width="45" customWidth="1" min="6" max="6"/>
    <col width="35" customWidth="1" min="7" max="7"/>
  </cols>
  <sheetData>
    <row r="1" ht="32" customHeight="1">
      <c r="A1" s="12" t="inlineStr">
        <is>
          <t>문항 번호</t>
        </is>
      </c>
      <c r="B1" s="12" t="inlineStr">
        <is>
          <t>파트 구분</t>
        </is>
      </c>
      <c r="C1" s="12" t="inlineStr">
        <is>
          <t>정답</t>
        </is>
      </c>
      <c r="D1" s="12" t="inlineStr">
        <is>
          <t>음성 원문 스크립트 (Listening Script)</t>
        </is>
      </c>
      <c r="E1" s="12" t="inlineStr">
        <is>
          <t>우리말 전문 해석</t>
        </is>
      </c>
      <c r="F1" s="12" t="inlineStr">
        <is>
          <t>정답 도출 근거 및 1초 소거법</t>
        </is>
      </c>
      <c r="G1" s="12" t="inlineStr">
        <is>
          <t>핵심 필수 어휘 &amp; 표현</t>
        </is>
      </c>
    </row>
    <row r="2" ht="60" customHeight="1">
      <c r="A2" s="17" t="inlineStr">
        <is>
          <t>Q1</t>
        </is>
      </c>
      <c r="B2" s="17" t="inlineStr">
        <is>
          <t>Part 1</t>
        </is>
      </c>
      <c r="C2" s="17" t="inlineStr">
        <is>
          <t>B</t>
        </is>
      </c>
      <c r="D2" s="18" t="inlineStr">
        <is>
          <t>Number 1. Look at the picture marked Number 1 in your test book. (A) She is writing on a whiteboard. (B) She is working on a laptop computer. (C) She is answering a telephone call. (D) She is filing documents into a cabinet.</t>
        </is>
      </c>
      <c r="E2" s="18" t="inlineStr">
        <is>
          <t>[Q1 문제 번역]
Look at the picture marked Number 1 in your test book and choose the best statement.</t>
        </is>
      </c>
      <c r="F2" s="18" t="inlineStr">
        <is>
          <t>[정답 분석] 사진 속 여성이 책상에 앉아 노트북 컴퓨터로 작업 중이므로 (B) working on a laptop computer가 정답입니다.
[오답 소거]
(A) 화이트보드 필기 없음
(C) 전화 통화 중 아님
(D) 캐비닛 정리 없음</t>
        </is>
      </c>
      <c r="G2" s="18" t="inlineStr">
        <is>
          <t>work on(~에 열중하다/작업하다); laptop computer(노트북); whiteboard(화이트보드); file documents(서류를 철하다)</t>
        </is>
      </c>
    </row>
    <row r="3" ht="60" customHeight="1">
      <c r="A3" s="20" t="inlineStr">
        <is>
          <t>Q2</t>
        </is>
      </c>
      <c r="B3" s="20" t="inlineStr">
        <is>
          <t>Part 1</t>
        </is>
      </c>
      <c r="C3" s="20" t="inlineStr">
        <is>
          <t>B</t>
        </is>
      </c>
      <c r="D3" s="21" t="inlineStr">
        <is>
          <t>Number 2. Look at the picture marked Number 2 in your test book. (A) He is walking across a footbridge. (B) He is inspecting some architectural plans. (C) He is operating heavy machinery. (D) He is painting an exterior wall.</t>
        </is>
      </c>
      <c r="E3" s="21" t="inlineStr">
        <is>
          <t>[Q2 문제 번역]
Look at the picture marked Number 2 in your test book and choose the best statement.</t>
        </is>
      </c>
      <c r="F3" s="21" t="inlineStr">
        <is>
          <t>[정답 분석] 안전모와 조끼를 입은 엔지니어가 설계 도면을 주의 깊게 검토하는 사진이므로 (B) inspecting some architectural plans가 정답입니다.</t>
        </is>
      </c>
      <c r="G3" s="21" t="inlineStr">
        <is>
          <t>inspect(검토하다, 시찰하다); architectural plans(건축 설계도); operate heavy machinery(중장비를 조작하다); exterior wall(외벽)</t>
        </is>
      </c>
    </row>
    <row r="4" ht="60" customHeight="1">
      <c r="A4" s="17" t="inlineStr">
        <is>
          <t>Q3</t>
        </is>
      </c>
      <c r="B4" s="17" t="inlineStr">
        <is>
          <t>Part 1</t>
        </is>
      </c>
      <c r="C4" s="17" t="inlineStr">
        <is>
          <t>A</t>
        </is>
      </c>
      <c r="D4" s="18" t="inlineStr">
        <is>
          <t>Number 3. Look at the picture marked Number 3 in your test book. (A) Chairs are arranged around a conference table. (B) Some boxes are being unloaded from a truck. (C) A presenter is speaking to an audience. (D) The blinds have been pulled down over the windows.</t>
        </is>
      </c>
      <c r="E4" s="18" t="inlineStr">
        <is>
          <t>[Q3 문제 번역]
Look at the picture marked Number 3 in your test book and choose the best statement.</t>
        </is>
      </c>
      <c r="F4" s="18" t="inlineStr">
        <is>
          <t>[정답 분석] 사람이 없는 회의실 정물 사진으로 탁자 주위에 의자가 정렬된 상태를 묘사한 (A) Chairs are arranged around a conference table이 정답입니다.
[오답 소거 (기출 킬러 공식)]
(B) 'being unloaded'처럼 사람이 없는데 'be being p.p.(진행형 수동)'가 나오면 오답!</t>
        </is>
      </c>
      <c r="G4" s="18" t="inlineStr">
        <is>
          <t>be arranged around(~주위에 배열되어 있다); conference table(회의 탁자); unload(하역하다); blinds(블라인드)</t>
        </is>
      </c>
    </row>
    <row r="5" ht="60" customHeight="1">
      <c r="A5" s="20" t="inlineStr">
        <is>
          <t>Q4</t>
        </is>
      </c>
      <c r="B5" s="20" t="inlineStr">
        <is>
          <t>Part 1</t>
        </is>
      </c>
      <c r="C5" s="20" t="inlineStr">
        <is>
          <t>A</t>
        </is>
      </c>
      <c r="D5" s="21" t="inlineStr">
        <is>
          <t>Number 4. Look at the picture marked Number 4 in your test book. (A) Merchandise is displayed on store shelves. (B) A customer is paying for some groceries at a register. (C) A clerk is restocking empty cartons. (D) Banners are being hung from the ceiling.</t>
        </is>
      </c>
      <c r="E5" s="21" t="inlineStr">
        <is>
          <t>[Q4 문제 번역]
Look at the picture marked Number 4 in your test book and choose the best statement.</t>
        </is>
      </c>
      <c r="F5" s="21" t="inlineStr">
        <is>
          <t>[정답 분석] 상품(Merchandise)이 선반(shelves)에 정돈되어 진열된 상태(is displayed)를 정확히 묘사한 (A)가 정답입니다.</t>
        </is>
      </c>
      <c r="G5" s="21" t="inlineStr">
        <is>
          <t>merchandise(상품, 물품); display on shelves(선반에 진열하다); cashier/register(계산대); restock(재입고하다)</t>
        </is>
      </c>
    </row>
    <row r="6" ht="60" customHeight="1">
      <c r="A6" s="17" t="inlineStr">
        <is>
          <t>Q5</t>
        </is>
      </c>
      <c r="B6" s="17" t="inlineStr">
        <is>
          <t>Part 1</t>
        </is>
      </c>
      <c r="C6" s="17" t="inlineStr">
        <is>
          <t>A</t>
        </is>
      </c>
      <c r="D6" s="18" t="inlineStr">
        <is>
          <t>Number 5. Look at the picture marked Number 5 in your test book. (A) Umbrellas shade outdoor dining tables. (B) Waitstaff are setting cutlery on tables. (C) Patios are being swept by a maintenance worker. (D) Food trays are stacked near an entrance.</t>
        </is>
      </c>
      <c r="E6" s="18" t="inlineStr">
        <is>
          <t>[Q5 문제 번역]
Look at the picture marked Number 5 in your test book and choose the best statement.</t>
        </is>
      </c>
      <c r="F6" s="18" t="inlineStr">
        <is>
          <t>[정답 분석] 야외 테라스에 파라솔(Umbrellas)이 야외 식탁들(dining tables)에 그늘을 드리우고 있는(shade) 상태를 묘사한 (A)가 정답입니다.</t>
        </is>
      </c>
      <c r="G6" s="18" t="inlineStr">
        <is>
          <t>shade(그늘지게 하다); outdoor dining(야외 식사); waitstaff(서빙 직원); cutlery(수저/식기도구); patio(테라스)</t>
        </is>
      </c>
    </row>
    <row r="7" ht="60" customHeight="1">
      <c r="A7" s="20" t="inlineStr">
        <is>
          <t>Q6</t>
        </is>
      </c>
      <c r="B7" s="20" t="inlineStr">
        <is>
          <t>Part 1</t>
        </is>
      </c>
      <c r="C7" s="20" t="inlineStr">
        <is>
          <t>A</t>
        </is>
      </c>
      <c r="D7" s="21" t="inlineStr">
        <is>
          <t>Number 6. Look at the picture marked Number 6 in your test book. (A) A lecturer is addressing an audience from a podium. (B) Handouts are being passed around the room. (C) Attendees are exiting the auditorium. (D) A projector screen is being lowered from the ceiling.</t>
        </is>
      </c>
      <c r="E7" s="21" t="inlineStr">
        <is>
          <t>[Q6 문제 번역]
Look at the picture marked Number 6 in your test book and choose the best statement.</t>
        </is>
      </c>
      <c r="F7" s="21" t="inlineStr">
        <is>
          <t>[정답 분석] 연단(podium) 앞에 선 강연자가 청중(audience)을 향해 연설하고 있는(addressing) 장면이므로 (A)가 정답입니다.</t>
        </is>
      </c>
      <c r="G7" s="21" t="inlineStr">
        <is>
          <t>address an audience(청중에게 연설하다); podium(연단); handout(유인물); attendee(참석자); auditorium(강당)</t>
        </is>
      </c>
    </row>
    <row r="8" ht="60" customHeight="1">
      <c r="A8" s="17" t="inlineStr">
        <is>
          <t>Q7</t>
        </is>
      </c>
      <c r="B8" s="17" t="inlineStr">
        <is>
          <t>Part 2</t>
        </is>
      </c>
      <c r="C8" s="17" t="inlineStr">
        <is>
          <t>B</t>
        </is>
      </c>
      <c r="D8" s="18" t="inlineStr">
        <is>
          <t>Number 7. When is the quarterly financial report scheduled to be submitted? (A) Yes, Mr. Harris already approved it. (B) By Friday afternoon at five o'clock. (C) In the main conference hall on the second floor.</t>
        </is>
      </c>
      <c r="E8" s="18" t="inlineStr">
        <is>
          <t>[Q7 문제 번역]
Mark your answer on your answer sheet: [Audio Only]</t>
        </is>
      </c>
      <c r="F8" s="18" t="inlineStr">
        <is>
          <t>[정답 분석] 'When(언제)' 의문사 질문이므로 구체적 마감 시한(By Friday afternoon...)을 제시한 (B)가 정답입니다.
[오답 소거]
(A) 의문사 의문문에는 Yes/No 불가!
(C) Where에 어울리는 장소 응답</t>
        </is>
      </c>
      <c r="G8" s="18" t="inlineStr">
        <is>
          <t>quarterly(분기의); financial report(재무 보고서); be scheduled to(~할 예정이다); by Friday(금요일까지)</t>
        </is>
      </c>
    </row>
    <row r="9" ht="60" customHeight="1">
      <c r="A9" s="20" t="inlineStr">
        <is>
          <t>Q8</t>
        </is>
      </c>
      <c r="B9" s="20" t="inlineStr">
        <is>
          <t>Part 2</t>
        </is>
      </c>
      <c r="C9" s="20" t="inlineStr">
        <is>
          <t>A</t>
        </is>
      </c>
      <c r="D9" s="21" t="inlineStr">
        <is>
          <t>Number 8. Where can I find the replacement ink cartridges for the copy machine? (A) In the storage cabinet next to the breakroom. (B) About twenty copies should be enough. (C) No, the printer is working fine.</t>
        </is>
      </c>
      <c r="E9" s="21" t="inlineStr">
        <is>
          <t>[Q8 문제 번역]
Mark your answer on your answer sheet: [Audio Only]</t>
        </is>
      </c>
      <c r="F9" s="21" t="inlineStr">
        <is>
          <t>[정답 분석] 'Where(어디서)' 위치 질문에 구체적 보관 장소(In the storage cabinet...)를 답변한 (A)가 정답입니다.</t>
        </is>
      </c>
      <c r="G9" s="21" t="inlineStr">
        <is>
          <t>replacement(교체용의); ink cartridge(잉크 카트리지); storage cabinet(보관함); breakroom(휴게실)</t>
        </is>
      </c>
    </row>
    <row r="10" ht="60" customHeight="1">
      <c r="A10" s="17" t="inlineStr">
        <is>
          <t>Q9</t>
        </is>
      </c>
      <c r="B10" s="17" t="inlineStr">
        <is>
          <t>Part 2</t>
        </is>
      </c>
      <c r="C10" s="17" t="inlineStr">
        <is>
          <t>B</t>
        </is>
      </c>
      <c r="D10" s="18" t="inlineStr">
        <is>
          <t>Number 9. Why was yesterday's staff training workshop cancelled? (A) Yes, it was very informative. (B) Because the guest speaker's flight was delayed. (C) On the third floor auditorium.</t>
        </is>
      </c>
      <c r="E10" s="18" t="inlineStr">
        <is>
          <t>[Q9 문제 번역]
Mark your answer on your answer sheet: [Audio Only]</t>
        </is>
      </c>
      <c r="F10" s="18" t="inlineStr">
        <is>
          <t>[정답 분석] 'Why(왜)' 질문에 명확한 인과 원인(Because the guest speaker's flight was delayed)을 밝힌 (B)가 정답입니다.</t>
        </is>
      </c>
      <c r="G10" s="18" t="inlineStr">
        <is>
          <t>staff training workshop(직원 교육 워크숍); informative(유익한); guest speaker(초청 강사); flight delayed(항공편 지연)</t>
        </is>
      </c>
    </row>
    <row r="11" ht="60" customHeight="1">
      <c r="A11" s="20" t="inlineStr">
        <is>
          <t>Q10</t>
        </is>
      </c>
      <c r="B11" s="20" t="inlineStr">
        <is>
          <t>Part 2</t>
        </is>
      </c>
      <c r="C11" s="20" t="inlineStr">
        <is>
          <t>A</t>
        </is>
      </c>
      <c r="D11" s="21" t="inlineStr">
        <is>
          <t>Number 10. Has the client confirmed the date for the contract signing? (A) Ms. Patel is handling all client communications. (B) Yes, at the downtown law office. (C) Forty-five dollars per hour.</t>
        </is>
      </c>
      <c r="E11" s="21" t="inlineStr">
        <is>
          <t>[Q10 문제 번역]
Mark your answer on your answer sheet: [Audio Only]</t>
        </is>
      </c>
      <c r="F11" s="21" t="inlineStr">
        <is>
          <t>[정답 분석 (토익 850+ 킬러 족보)]
'내가 잘 모르니 담당자에게 확인해라' 유형의 제3자 회피성 응답은 정기토익 100% 정답 족보입니다! (A)가 정답입니다.</t>
        </is>
      </c>
      <c r="G11" s="21" t="inlineStr">
        <is>
          <t>confirm the date(날짜를 확정하다); contract signing(계약 체결); handle(처리하다, 담당하다); communications(연락, 소통)</t>
        </is>
      </c>
    </row>
    <row r="12" ht="60" customHeight="1">
      <c r="A12" s="17" t="inlineStr">
        <is>
          <t>Q11</t>
        </is>
      </c>
      <c r="B12" s="17" t="inlineStr">
        <is>
          <t>Part 2</t>
        </is>
      </c>
      <c r="C12" s="17" t="inlineStr">
        <is>
          <t>B</t>
        </is>
      </c>
      <c r="D12" s="18" t="inlineStr">
        <is>
          <t>Number 11. Who will be leading the orientation session for the new interns? (A) In conference room B. (B) Mr. Davis from human resources. (C) At ten o'clock tomorrow morning.</t>
        </is>
      </c>
      <c r="E12" s="18" t="inlineStr">
        <is>
          <t>[Q11 문제 번역]
Mark your answer on your answer sheet: [Audio Only]</t>
        </is>
      </c>
      <c r="F12" s="18" t="inlineStr">
        <is>
          <t>[정답 분석] 'Who(누가)' 인물을 묻는 질문에 담당자(Mr. Davis from human resources)로 답변한 (B)가 정답입니다.</t>
        </is>
      </c>
      <c r="G12" s="18" t="inlineStr">
        <is>
          <t>lead a session(세션을 이끌다); orientation(오리엔테이션); human resources(인사부)</t>
        </is>
      </c>
    </row>
    <row r="13" ht="60" customHeight="1">
      <c r="A13" s="20" t="inlineStr">
        <is>
          <t>Q12</t>
        </is>
      </c>
      <c r="B13" s="20" t="inlineStr">
        <is>
          <t>Part 2</t>
        </is>
      </c>
      <c r="C13" s="20" t="inlineStr">
        <is>
          <t>A</t>
        </is>
      </c>
      <c r="D13" s="21" t="inlineStr">
        <is>
          <t>Number 12. How do I submit an application for parking permit renewal? (A) Through the employee web portal. (B) Yes, I parked on the second level. (C) It costs twenty-five dollars.</t>
        </is>
      </c>
      <c r="E13" s="21" t="inlineStr">
        <is>
          <t>[Q12 문제 번역]
Mark your answer on your answer sheet: [Audio Only]</t>
        </is>
      </c>
      <c r="F13" s="21" t="inlineStr">
        <is>
          <t>[정답 분석] 'How(어떻게)' 신청 절차를 묻는 질문에 제출 방법(Through the employee web portal)을 제시한 (A)가 정답입니다.</t>
        </is>
      </c>
      <c r="G13" s="21" t="inlineStr">
        <is>
          <t>submit an application(신청서를 제출하다); parking permit(주차 허가증); renewal(갱신)</t>
        </is>
      </c>
    </row>
    <row r="14">
      <c r="A14" s="17" t="inlineStr">
        <is>
          <t>Q13</t>
        </is>
      </c>
      <c r="B14" s="17" t="inlineStr">
        <is>
          <t>Part 2</t>
        </is>
      </c>
      <c r="C14" s="17" t="inlineStr">
        <is>
          <t>A</t>
        </is>
      </c>
      <c r="D14" s="18" t="inlineStr">
        <is>
          <t>Number 13. What time will the catering company deliver the lunch platters? (A) Around eleven forty-five. (B) Vegetarian sandwiches and wraps. (C) For twenty-five guests.</t>
        </is>
      </c>
      <c r="E14" s="18" t="inlineStr">
        <is>
          <t>[Q13 문제 번역]
Mark your answer on your answer sheet: [Audio Only]</t>
        </is>
      </c>
      <c r="F14" s="18" t="inlineStr">
        <is>
          <t>[정답 분석] 'What time(몇 시에)' 시각을 묻는 질문에 구체적 도착 예정 시간(Around eleven forty-five)을 답한 (A)가 정답입니다.</t>
        </is>
      </c>
      <c r="G14" s="18" t="inlineStr">
        <is>
          <t>catering company(출장 뷔페 업체); deliver(배달하다); lunch platter(점심 플래터 모둠)</t>
        </is>
      </c>
    </row>
    <row r="15">
      <c r="A15" s="20" t="inlineStr">
        <is>
          <t>Q14</t>
        </is>
      </c>
      <c r="B15" s="20" t="inlineStr">
        <is>
          <t>Part 2</t>
        </is>
      </c>
      <c r="C15" s="20" t="inlineStr">
        <is>
          <t>A</t>
        </is>
      </c>
      <c r="D15" s="21" t="inlineStr">
        <is>
          <t>Number 14. Did you receive the updated travel itinerary from the agency? (A) I haven't checked my inbox yet this morning. (B) A round-trip flight to Seattle. (C) Yes, the hotel was fully booked.</t>
        </is>
      </c>
      <c r="E15" s="21" t="inlineStr">
        <is>
          <t>[Q14 문제 번역]
Mark your answer on your answer sheet: [Audio Only]</t>
        </is>
      </c>
      <c r="F15" s="21" t="inlineStr">
        <is>
          <t>[정답 분석] 수신 여부를 묻는 질문에 '아직 메일함을 확인하지 못했다'는 자연스러운 우회 응답인 (A)가 정답입니다.</t>
        </is>
      </c>
      <c r="G15" s="21" t="inlineStr">
        <is>
          <t>updated travel itinerary(수정된 여행 일정표); travel agency(여행사); inbox(수신함)</t>
        </is>
      </c>
    </row>
    <row r="16">
      <c r="A16" s="17" t="inlineStr">
        <is>
          <t>Q15</t>
        </is>
      </c>
      <c r="B16" s="17" t="inlineStr">
        <is>
          <t>Part 2</t>
        </is>
      </c>
      <c r="C16" s="17" t="inlineStr">
        <is>
          <t>A</t>
        </is>
      </c>
      <c r="D16" s="18" t="inlineStr">
        <is>
          <t>Number 15. Why don't we review the sales figures before the executive meeting? (A) Sounds like a great idea. (B) Because the projector was unplugged. (C) In the second quarter of the year.</t>
        </is>
      </c>
      <c r="E16" s="18" t="inlineStr">
        <is>
          <t>[Q15 문제 번역]
Mark your answer on your answer sheet: [Audio Only]</t>
        </is>
      </c>
      <c r="F16" s="18" t="inlineStr">
        <is>
          <t>[정답 분석] 'Why don't we(~하는 게 어때요)' 제안/권유 표현에 흔쾌히 동의하는 (A) Sounds like a great idea가 정답입니다.
[오답 소거] 제안 의문문이므로 이유를 대는 Because (B)는 함정 오답!</t>
        </is>
      </c>
      <c r="G16" s="18" t="inlineStr">
        <is>
          <t>sales figures(매출 수치); executive meeting(임원 회의); Sounds like a great idea(좋은 생각입니다)</t>
        </is>
      </c>
    </row>
    <row r="17">
      <c r="A17" s="20" t="inlineStr">
        <is>
          <t>Q16</t>
        </is>
      </c>
      <c r="B17" s="20" t="inlineStr">
        <is>
          <t>Part 2</t>
        </is>
      </c>
      <c r="C17" s="20" t="inlineStr">
        <is>
          <t>A</t>
        </is>
      </c>
      <c r="D17" s="21" t="inlineStr">
        <is>
          <t>Number 16. Could you show me how to operate the high-speed laminating machine? (A) I'd be happy to assist you after lunch. (B) Yes, the speed limit is 40 miles per hour. (C) About fifty plastic sheets.</t>
        </is>
      </c>
      <c r="E17" s="21" t="inlineStr">
        <is>
          <t>[Q16 문제 번역]
Mark your answer on your answer sheet: [Audio Only]</t>
        </is>
      </c>
      <c r="F17" s="21" t="inlineStr">
        <is>
          <t>[정답 분석] 'Could you show me(~을 보여주시겠습니까)' 도움 요청에 기꺼이 응답(I'd be happy to assist you...)한 (A)가 정답입니다.</t>
        </is>
      </c>
      <c r="G17" s="21" t="inlineStr">
        <is>
          <t>operate(작동하다); laminating machine(코팅기); assist(돕다, 조력하다)</t>
        </is>
      </c>
    </row>
    <row r="18">
      <c r="A18" s="17" t="inlineStr">
        <is>
          <t>Q17</t>
        </is>
      </c>
      <c r="B18" s="17" t="inlineStr">
        <is>
          <t>Part 2</t>
        </is>
      </c>
      <c r="C18" s="17" t="inlineStr">
        <is>
          <t>A</t>
        </is>
      </c>
      <c r="D18" s="18" t="inlineStr">
        <is>
          <t>Number 17. Would you like to take the subway or share a taxi to the convention center? (A) The subway will probably be faster during rush hour. (B) Yes, I enjoy taking taxis. (C) It starts at nine in the morning.</t>
        </is>
      </c>
      <c r="E18" s="18" t="inlineStr">
        <is>
          <t>[Q17 문제 번역]
Mark your answer on your answer sheet: [Audio Only]</t>
        </is>
      </c>
      <c r="F18" s="18" t="inlineStr">
        <is>
          <t>[정답 분석] 지하철 vs 택시 중 하나를 선택하는 질문에 지하철을 선택하며 이유를 덧붙인 (A)가 정답입니다. 선택의문문에는 Yes/No 응답 (B)가 불가합니다.</t>
        </is>
      </c>
      <c r="G18" s="18" t="inlineStr">
        <is>
          <t>subway(지하철); share a taxi(택시를 합승하다); convention center(컨벤션 센터); rush hour(출퇴근 혼잡시간)</t>
        </is>
      </c>
    </row>
    <row r="19">
      <c r="A19" s="20" t="inlineStr">
        <is>
          <t>Q18</t>
        </is>
      </c>
      <c r="B19" s="20" t="inlineStr">
        <is>
          <t>Part 2</t>
        </is>
      </c>
      <c r="C19" s="20" t="inlineStr">
        <is>
          <t>A</t>
        </is>
      </c>
      <c r="D19" s="21" t="inlineStr">
        <is>
          <t>Number 18. The maintenance crew inspected the elevator this morning, didn't they? (A) Yes, everything is operating smoothly now. (B) On the twelfth floor. (C) No, I didn't see the building manager.</t>
        </is>
      </c>
      <c r="E19" s="21" t="inlineStr">
        <is>
          <t>[Q18 문제 번역]
Mark your answer on your answer sheet: [Audio Only]</t>
        </is>
      </c>
      <c r="F19" s="21" t="inlineStr">
        <is>
          <t>[정답 분석] 정기 점검 여부를 확인하는 부가의문문에 정상 가동 중이라고 확인해 준 (A)가 정답입니다.</t>
        </is>
      </c>
      <c r="G19" s="21" t="inlineStr">
        <is>
          <t>maintenance crew(보수 점검팀); inspect(점검하다); operating smoothly(원활히 작동하는)</t>
        </is>
      </c>
    </row>
    <row r="20">
      <c r="A20" s="17" t="inlineStr">
        <is>
          <t>Q19</t>
        </is>
      </c>
      <c r="B20" s="17" t="inlineStr">
        <is>
          <t>Part 2</t>
        </is>
      </c>
      <c r="C20" s="17" t="inlineStr">
        <is>
          <t>A</t>
        </is>
      </c>
      <c r="D20" s="18" t="inlineStr">
        <is>
          <t>Number 19. Our flight to Frankfurt has been delayed by three hours due to fog. (A) Then let's find a café near the departure gate. (B) Row fourteen, window seat. (C) Yes, Frankfurt is the financial center.</t>
        </is>
      </c>
      <c r="E20" s="18" t="inlineStr">
        <is>
          <t>[Q19 문제 번역]
Mark your answer on your answer sheet: [Audio Only]</t>
        </is>
      </c>
      <c r="F20" s="18" t="inlineStr">
        <is>
          <t>[정답 분석] 비행 지연 소식을 전달하는 평서문에 대한 대안 행동(게이트 근처 카페에 가자)을 제시한 (A)가 정답입니다.</t>
        </is>
      </c>
      <c r="G20" s="18" t="inlineStr">
        <is>
          <t>delayed by three hours(3시간 지연된); due to fog(안개 때문에); departure gate(탑승구)</t>
        </is>
      </c>
    </row>
    <row r="21">
      <c r="A21" s="20" t="inlineStr">
        <is>
          <t>Q20</t>
        </is>
      </c>
      <c r="B21" s="20" t="inlineStr">
        <is>
          <t>Part 2</t>
        </is>
      </c>
      <c r="C21" s="20" t="inlineStr">
        <is>
          <t>A</t>
        </is>
      </c>
      <c r="D21" s="21" t="inlineStr">
        <is>
          <t>Number 20. Didn't Ms. Alvarez order replacement monitors for the design team? (A) She said they should arrive by Thursday. (B) Yes, the graphic design is impressive. (C) In the main computer lab.</t>
        </is>
      </c>
      <c r="E21" s="21" t="inlineStr">
        <is>
          <t>[Q20 문제 번역]
Mark your answer on your answer sheet: [Audio Only]</t>
        </is>
      </c>
      <c r="F21" s="21" t="inlineStr">
        <is>
          <t>[정답 분석] 모니터 주문 여부를 묻는 부정의문문에 목요일 도착 예정이라고 답하여 주문했음을 간접적으로 확인해 준 (A)가 정답입니다.</t>
        </is>
      </c>
      <c r="G21" s="21" t="inlineStr">
        <is>
          <t>order replacement(교체품을 주문하다); arrive by Thursday(목요일까지 도착하다)</t>
        </is>
      </c>
    </row>
    <row r="22">
      <c r="A22" s="17" t="inlineStr">
        <is>
          <t>Q21</t>
        </is>
      </c>
      <c r="B22" s="17" t="inlineStr">
        <is>
          <t>Part 2</t>
        </is>
      </c>
      <c r="C22" s="17" t="inlineStr">
        <is>
          <t>A</t>
        </is>
      </c>
      <c r="D22" s="18" t="inlineStr">
        <is>
          <t>Number 21. How long has the corporate legal team been reviewing this merger proposal? (A) For nearly three weeks now. (B) Yes, the proposal was approved. (C) About fifty pages long.</t>
        </is>
      </c>
      <c r="E22" s="18" t="inlineStr">
        <is>
          <t>[Q21 문제 번역]
Mark your answer on your answer sheet: [Audio Only]</t>
        </is>
      </c>
      <c r="F22" s="18" t="inlineStr">
        <is>
          <t>[정답 분석] 'How long(얼마 동안)' 기간을 묻는 질문에 구체적 기간(For nearly three weeks now)으로 응답한 (A)가 정답입니다.</t>
        </is>
      </c>
      <c r="G22" s="18" t="inlineStr">
        <is>
          <t>legal team(법무팀); review proposal(제안서를 검토하다); merger(기업 합병)</t>
        </is>
      </c>
    </row>
    <row r="23">
      <c r="A23" s="20" t="inlineStr">
        <is>
          <t>Q22</t>
        </is>
      </c>
      <c r="B23" s="20" t="inlineStr">
        <is>
          <t>Part 2</t>
        </is>
      </c>
      <c r="C23" s="20" t="inlineStr">
        <is>
          <t>A</t>
        </is>
      </c>
      <c r="D23" s="21" t="inlineStr">
        <is>
          <t>Number 22. Which vendor submitted the most competitive bid for the roofing project? (A) Apex Construction had the lowest estimate. (B) On the top floor of the headquarters. (C) Yes, we signed the contract.</t>
        </is>
      </c>
      <c r="E23" s="21" t="inlineStr">
        <is>
          <t>[Q22 문제 번역]
Mark your answer on your answer sheet: [Audio Only]</t>
        </is>
      </c>
      <c r="F23" s="21" t="inlineStr">
        <is>
          <t>[정답 분석] 'Which vendor(어느 업체)'를 묻는 질문에 가장 저렴한 견적을 낸 특정 업체(Apex Construction)를 밝힌 (A)가 정답입니다.</t>
        </is>
      </c>
      <c r="G23" s="21" t="inlineStr">
        <is>
          <t>vendor(공급업체, 거래처); competitive bid(경쟁력 있는 입찰); roofing project(지붕 공사); estimate(견적서)</t>
        </is>
      </c>
    </row>
    <row r="24">
      <c r="A24" s="17" t="inlineStr">
        <is>
          <t>Q23</t>
        </is>
      </c>
      <c r="B24" s="17" t="inlineStr">
        <is>
          <t>Part 2</t>
        </is>
      </c>
      <c r="C24" s="17" t="inlineStr">
        <is>
          <t>A</t>
        </is>
      </c>
      <c r="D24" s="18" t="inlineStr">
        <is>
          <t>Number 23. Do you know when the technician will finish installing the network firewall? (A) I haven't spoken with him since this morning. (B) Yes, the internet connection is very stable. (C) The password is eight characters long.</t>
        </is>
      </c>
      <c r="E24" s="18" t="inlineStr">
        <is>
          <t>[Q23 문제 번역]
Mark your answer on your answer sheet: [Audio Only]</t>
        </is>
      </c>
      <c r="F24" s="18" t="inlineStr">
        <is>
          <t>[정답 분석] 설치 완료 시점을 묻는 질문에 '아침 이후로 기사와 통화하지 못해 모른다'는 우회 회피 응답인 (A)가 정답입니다.</t>
        </is>
      </c>
      <c r="G24" s="18" t="inlineStr">
        <is>
          <t>technician(기술자); network firewall(네트워크 방화벽); stable(안정적인)</t>
        </is>
      </c>
    </row>
    <row r="25">
      <c r="A25" s="20" t="inlineStr">
        <is>
          <t>Q24</t>
        </is>
      </c>
      <c r="B25" s="20" t="inlineStr">
        <is>
          <t>Part 2</t>
        </is>
      </c>
      <c r="C25" s="20" t="inlineStr">
        <is>
          <t>A</t>
        </is>
      </c>
      <c r="D25" s="21" t="inlineStr">
        <is>
          <t>Number 24. Would you mind reviewing my draft for the press release? (A) Not at all, leave it on my desk. (B) The printing cost was too high. (C) Yes, the local newspaper published it.</t>
        </is>
      </c>
      <c r="E25" s="21" t="inlineStr">
        <is>
          <t>[Q24 문제 번역]
Mark your answer on your answer sheet: [Audio Only]</t>
        </is>
      </c>
      <c r="F25" s="21" t="inlineStr">
        <is>
          <t>[정답 분석] 'Would you mind(~해 주시겠습니까)' 요청에 수락의 의미로 'Not at all(전혀 꺼리지 않습니다 / 해드리겠습니다)'로 응답한 (A)가 정답입니다.</t>
        </is>
      </c>
      <c r="G25" s="21" t="inlineStr">
        <is>
          <t>Would you mind -ing(~해주시겠습니까); draft(초안); press release(보도자료); Not at all(전혀요, 좋습니다)</t>
        </is>
      </c>
    </row>
    <row r="26">
      <c r="A26" s="17" t="inlineStr">
        <is>
          <t>Q25</t>
        </is>
      </c>
      <c r="B26" s="17" t="inlineStr">
        <is>
          <t>Part 2</t>
        </is>
      </c>
      <c r="C26" s="17" t="inlineStr">
        <is>
          <t>A</t>
        </is>
      </c>
      <c r="D26" s="18" t="inlineStr">
        <is>
          <t>Number 25. Where did you get that stylish briefcase? (A) It was a retirement gift from my former colleagues. (B) Yes, it fits my laptop perfectly. (C) In the conference room on the fifth floor.</t>
        </is>
      </c>
      <c r="E26" s="18" t="inlineStr">
        <is>
          <t>[Q25 문제 번역]
Mark your answer on your answer sheet: [Audio Only]</t>
        </is>
      </c>
      <c r="F26" s="18" t="inlineStr">
        <is>
          <t>[정답 분석] 가방을 어디서 얻었는지 묻는 질문에 출처(동료들에게 받은 퇴직 선물)를 설명한 (A)가 정답입니다.</t>
        </is>
      </c>
      <c r="G26" s="18" t="inlineStr">
        <is>
          <t>stylish briefcase(세련된 서류가방); retirement gift(은퇴 선물); former colleague(이전 동료)</t>
        </is>
      </c>
    </row>
    <row r="27">
      <c r="A27" s="20" t="inlineStr">
        <is>
          <t>Q26</t>
        </is>
      </c>
      <c r="B27" s="20" t="inlineStr">
        <is>
          <t>Part 2</t>
        </is>
      </c>
      <c r="C27" s="20" t="inlineStr">
        <is>
          <t>A</t>
        </is>
      </c>
      <c r="D27" s="21" t="inlineStr">
        <is>
          <t>Number 26. Should we reserve the auditorium or the outdoor pavilion for the company banquet? (A) Let's check the weather forecast before deciding. (B) Yes, the banquet starts at seven. (C) About one hundred and fifty employees.</t>
        </is>
      </c>
      <c r="E27" s="21" t="inlineStr">
        <is>
          <t>[Q26 문제 번역]
Mark your answer on your answer sheet: [Audio Only]</t>
        </is>
      </c>
      <c r="F27" s="21" t="inlineStr">
        <is>
          <t>[정답 분석] 강당 vs 야외 파빌리온 중 장소 선택 질문에 '일기예보를 먼저 확인해 보자'는 우회적 최적 결정 응답인 (A)가 정답입니다.</t>
        </is>
      </c>
      <c r="G27" s="21" t="inlineStr">
        <is>
          <t>auditorium(강당); outdoor pavilion(야외 파빌리온/천막); company banquet(회사 연회); weather forecast(일기예보)</t>
        </is>
      </c>
    </row>
    <row r="28">
      <c r="A28" s="17" t="inlineStr">
        <is>
          <t>Q27</t>
        </is>
      </c>
      <c r="B28" s="17" t="inlineStr">
        <is>
          <t>Part 2</t>
        </is>
      </c>
      <c r="C28" s="17" t="inlineStr">
        <is>
          <t>A</t>
        </is>
      </c>
      <c r="D28" s="18" t="inlineStr">
        <is>
          <t>Number 27. We have exceeded our quarterly recycling target by fifteen percent. (A) That's fantastic news for our sustainability report! (B) Place all plastic bottles in the green bin. (C) Fifteen dollars per kilogram.</t>
        </is>
      </c>
      <c r="E28" s="18" t="inlineStr">
        <is>
          <t>[Q27 문제 번역]
Mark your answer on your answer sheet: [Audio Only]</t>
        </is>
      </c>
      <c r="F28" s="18" t="inlineStr">
        <is>
          <t>[정답 분석] 재활용 목표 15% 초과 달성 성과에 대해 기뻐하며 지속가능성 보고서에 큰 호재라고 맞장구친 (A)가 정답입니다.</t>
        </is>
      </c>
      <c r="G28" s="18" t="inlineStr">
        <is>
          <t>exceed target(목표를 초과 달성하다); quarterly recycling(분기 재활용); sustainability report(지속가능경영 보고서)</t>
        </is>
      </c>
    </row>
    <row r="29">
      <c r="A29" s="20" t="inlineStr">
        <is>
          <t>Q28</t>
        </is>
      </c>
      <c r="B29" s="20" t="inlineStr">
        <is>
          <t>Part 2</t>
        </is>
      </c>
      <c r="C29" s="20" t="inlineStr">
        <is>
          <t>A</t>
        </is>
      </c>
      <c r="D29" s="21" t="inlineStr">
        <is>
          <t>Number 28. Why hasn't the direct deposit for travel expenses gone through yet? (A) Payroll was processed a day late due to the holiday. (B) Yes, I kept all original receipts. (C) In the first-floor banking branch.</t>
        </is>
      </c>
      <c r="E29" s="21" t="inlineStr">
        <is>
          <t>[Q28 문제 번역]
Mark your answer on your answer sheet: [Audio Only]</t>
        </is>
      </c>
      <c r="F29" s="21" t="inlineStr">
        <is>
          <t>[정답 분석] 출장비 입금이 왜 아직 안 되었는지 묻는 질문에 공휴일로 인한 급여 작업 하루 지연이라는 구체적 이유를 제시한 (A)가 정답입니다.</t>
        </is>
      </c>
      <c r="G29" s="21" t="inlineStr">
        <is>
          <t>direct deposit(계좌 자동입금); travel expenses(출장비); go through(처리되다, 통과하다); payroll(급여 업무)</t>
        </is>
      </c>
    </row>
    <row r="30">
      <c r="A30" s="17" t="inlineStr">
        <is>
          <t>Q29</t>
        </is>
      </c>
      <c r="B30" s="17" t="inlineStr">
        <is>
          <t>Part 2</t>
        </is>
      </c>
      <c r="C30" s="17" t="inlineStr">
        <is>
          <t>A</t>
        </is>
      </c>
      <c r="D30" s="18" t="inlineStr">
        <is>
          <t>Number 29. Is it possible to extend the deadline for submitting the grant proposal? (A) Only if the review committee grants special permission. (B) Yes, the grant was for fifty thousand dollars. (C) At the university research center.</t>
        </is>
      </c>
      <c r="E30" s="18" t="inlineStr">
        <is>
          <t>[Q29 문제 번역]
Mark your answer on your answer sheet: [Audio Only]</t>
        </is>
      </c>
      <c r="F30" s="18" t="inlineStr">
        <is>
          <t>[정답 분석] 마감 기한 연장이 가능한지 묻는 질문에 '심사위원회의 특별 승인이 있을 때만 가능하다'는 조건부 응답 (A)가 정답입니다.</t>
        </is>
      </c>
      <c r="G30" s="18" t="inlineStr">
        <is>
          <t>extend the deadline(마감 기한을 연장하다); grant proposal(연구비 지원 제안서); review committee(심사위원회); grant permission(승인하다)</t>
        </is>
      </c>
    </row>
    <row r="31">
      <c r="A31" s="20" t="inlineStr">
        <is>
          <t>Q30</t>
        </is>
      </c>
      <c r="B31" s="20" t="inlineStr">
        <is>
          <t>Part 2</t>
        </is>
      </c>
      <c r="C31" s="20" t="inlineStr">
        <is>
          <t>A</t>
        </is>
      </c>
      <c r="D31" s="21" t="inlineStr">
        <is>
          <t>Number 30. Mr. Thornton left for the client meeting in Chicago, didn't he? (A) Actually, his meeting was moved online. (B) Yes, Chicago is very windy in autumn. (C) Two round-trip airline tickets.</t>
        </is>
      </c>
      <c r="E31" s="21" t="inlineStr">
        <is>
          <t>[Q30 문제 번역]
Mark your answer on your answer sheet: [Audio Only]</t>
        </is>
      </c>
      <c r="F31" s="21" t="inlineStr">
        <is>
          <t>[정답 분석] 손턴 씨가 시카고 미팅에 떠났는지 묻는 말에 '사실 회의가 온라인으로 변경되었다'고 잘못된 전제를 바로잡아 주는 고난도 킬러 응답 (A)가 정답입니다.</t>
        </is>
      </c>
      <c r="G31" s="21" t="inlineStr">
        <is>
          <t>left for(~로 출발했다); client meeting(고객 미팅); moved online(온라인으로 전환되다)</t>
        </is>
      </c>
    </row>
    <row r="32">
      <c r="A32" s="17" t="inlineStr">
        <is>
          <t>Q31</t>
        </is>
      </c>
      <c r="B32" s="17" t="inlineStr">
        <is>
          <t>Part 2</t>
        </is>
      </c>
      <c r="C32" s="17" t="inlineStr">
        <is>
          <t>A</t>
        </is>
      </c>
      <c r="D32" s="18" t="inlineStr">
        <is>
          <t>Number 31. I didn't realize the library archive closes at five o'clock on Fridays. (A) Fortunately, we can access the digital collection online. (B) Yes, I returned all the reference books. (C) On the basement floor near the elevator.</t>
        </is>
      </c>
      <c r="E32" s="18" t="inlineStr">
        <is>
          <t>[Q31 문제 번역]
Mark your answer on your answer sheet: [Audio Only]</t>
        </is>
      </c>
      <c r="F32" s="18" t="inlineStr">
        <is>
          <t>[정답 분석] 도서관 문서고가 금요일 5시에 닫는지 몰랐다는 아쉬움에 대해 '다행히 온라인으로 디지털 컬렉션 열람이 가능하다'는 대안을 제시한 (A)가 정답입니다.</t>
        </is>
      </c>
      <c r="G32" s="18" t="inlineStr">
        <is>
          <t>library archive(도서관 기록보관소); digital collection(디지털 컬렉션); access online(온라인으로 접속하다)</t>
        </is>
      </c>
    </row>
    <row r="33">
      <c r="A33" s="20" t="inlineStr">
        <is>
          <t>Q32</t>
        </is>
      </c>
      <c r="B33" s="20" t="inlineStr">
        <is>
          <t>Part 3</t>
        </is>
      </c>
      <c r="C33" s="20" t="inlineStr">
        <is>
          <t>A</t>
        </is>
      </c>
      <c r="D33" s="21" t="inlineStr">
        <is>
          <t>Questions 32. Listen to the conversation.
Man: Hi Sarah, has the client presentation schedule for tomorrow morning been confirmed?
Woman: Actually, Mr. Richardson called and asked to postpone our meeting to 2:00 P.M. because of a flight delay.
Man: I see. Could you send an updated calendar invitation to everyone on the team?
Woman: Sure, I will email the revised schedule right away.
Question 32. What are the speakers discussing?</t>
        </is>
      </c>
      <c r="E33" s="21" t="inlineStr">
        <is>
          <t>[Q32 문제 번역]
What are the speakers discussing?</t>
        </is>
      </c>
      <c r="F33" s="21" t="inlineStr">
        <is>
          <t>[정답 분석] 남자의 첫 마디 'client presentation schedule for tomorrow morning'에서 회의/발표 일정을 논의하고 있음을 알 수 있습니다.</t>
        </is>
      </c>
      <c r="G33" s="21" t="inlineStr">
        <is>
          <t>presentation schedule(발표 일정); confirm(확정하다)</t>
        </is>
      </c>
    </row>
    <row r="34">
      <c r="A34" s="17" t="inlineStr">
        <is>
          <t>Q33</t>
        </is>
      </c>
      <c r="B34" s="17" t="inlineStr">
        <is>
          <t>Part 3</t>
        </is>
      </c>
      <c r="C34" s="17" t="inlineStr">
        <is>
          <t>C</t>
        </is>
      </c>
      <c r="D34" s="18" t="inlineStr">
        <is>
          <t>Questions 33. Listen to the conversation.
Man: Hi Sarah, has the client presentation schedule for tomorrow morning been confirmed?
Woman: Actually, Mr. Richardson called and asked to postpone our meeting to 2:00 P.M. because of a flight delay.
Man: I see. Could you send an updated calendar invitation to everyone on the team?
Woman: Sure, I will email the revised schedule right away.
Question 33. Why was the meeting postponed?</t>
        </is>
      </c>
      <c r="E34" s="18" t="inlineStr">
        <is>
          <t>[Q33 문제 번역]
Why was the meeting postponed?</t>
        </is>
      </c>
      <c r="F34" s="18" t="inlineStr">
        <is>
          <t>[정답 분석] 여자가 'because of a flight delay(항공편 지연 때문에)'라고 이유를 직접 언급했습니다.</t>
        </is>
      </c>
      <c r="G34" s="18" t="inlineStr">
        <is>
          <t>postpone(연기하다); flight delay(비행 지연)</t>
        </is>
      </c>
    </row>
    <row r="35">
      <c r="A35" s="20" t="inlineStr">
        <is>
          <t>Q34</t>
        </is>
      </c>
      <c r="B35" s="20" t="inlineStr">
        <is>
          <t>Part 3</t>
        </is>
      </c>
      <c r="C35" s="20" t="inlineStr">
        <is>
          <t>B</t>
        </is>
      </c>
      <c r="D35" s="21" t="inlineStr">
        <is>
          <t>Questions 34. Listen to the conversation.
Man: Hi Sarah, has the client presentation schedule for tomorrow morning been confirmed?
Woman: Actually, Mr. Richardson called and asked to postpone our meeting to 2:00 P.M. because of a flight delay.
Man: I see. Could you send an updated calendar invitation to everyone on the team?
Woman: Sure, I will email the revised schedule right away.
Question 34. What does the woman promise to do?</t>
        </is>
      </c>
      <c r="E35" s="21" t="inlineStr">
        <is>
          <t>[Q34 문제 번역]
What does the woman promise to do?</t>
        </is>
      </c>
      <c r="F35" s="21" t="inlineStr">
        <is>
          <t>[정답 분석] 여자가 'I will email the revised schedule right away'라고 하므로 수정된 초대장을 이메일로 보내겠다는 (B)가 정답입니다.</t>
        </is>
      </c>
      <c r="G35" s="21" t="inlineStr">
        <is>
          <t>revised schedule(수정 일정); right away(즉시)</t>
        </is>
      </c>
    </row>
    <row r="36">
      <c r="A36" s="17" t="inlineStr">
        <is>
          <t>Q35</t>
        </is>
      </c>
      <c r="B36" s="17" t="inlineStr">
        <is>
          <t>Part 3</t>
        </is>
      </c>
      <c r="C36" s="17" t="inlineStr">
        <is>
          <t>B</t>
        </is>
      </c>
      <c r="D36" s="18" t="inlineStr">
        <is>
          <t>Questions 35. Listen to the conversation.
Woman: Tom, why aren't the final sales figures printed yet? The executive committee meets in twenty minutes.
Man: I'm really sorry. The network printer on our floor has a paper jam, and the maintenance technician won't arrive until noon.
Woman: In that case, let's use the high-speed color printer in the marketing department.
Man: Good idea. I'll take the files over there right now.
Question 35. What problem does the man mention?</t>
        </is>
      </c>
      <c r="E36" s="18" t="inlineStr">
        <is>
          <t>[Q35 문제 번역]
What problem does the man mention?</t>
        </is>
      </c>
      <c r="F36" s="18" t="inlineStr">
        <is>
          <t>[정답 분석] 남자가 'The network printer on our floor has a paper jam'이라고 직접 설명했습니다.</t>
        </is>
      </c>
      <c r="G36" s="18" t="inlineStr">
        <is>
          <t>paper jam(용지 걸림); sales figures(매출 수치)</t>
        </is>
      </c>
    </row>
    <row r="37">
      <c r="A37" s="20" t="inlineStr">
        <is>
          <t>Q36</t>
        </is>
      </c>
      <c r="B37" s="20" t="inlineStr">
        <is>
          <t>Part 3</t>
        </is>
      </c>
      <c r="C37" s="20" t="inlineStr">
        <is>
          <t>A</t>
        </is>
      </c>
      <c r="D37" s="21" t="inlineStr">
        <is>
          <t>Questions 36. Listen to the conversation.
Woman: Tom, why aren't the final sales figures printed yet? The executive committee meets in twenty minutes.
Man: I'm really sorry. The network printer on our floor has a paper jam, and the maintenance technician won't arrive until noon.
Woman: In that case, let's use the high-speed color printer in the marketing department.
Man: Good idea. I'll take the files over there right now.
Question 36. When is the executive committee meeting?</t>
        </is>
      </c>
      <c r="E37" s="21" t="inlineStr">
        <is>
          <t>[Q36 문제 번역]
When is the executive committee meeting?</t>
        </is>
      </c>
      <c r="F37" s="21" t="inlineStr">
        <is>
          <t>[정답 분석] 여자가 'The executive committee meets in twenty minutes'라고 밝혔습니다.</t>
        </is>
      </c>
      <c r="G37" s="21" t="inlineStr">
        <is>
          <t>executive committee(임원 위원회)</t>
        </is>
      </c>
    </row>
    <row r="38">
      <c r="A38" s="17" t="inlineStr">
        <is>
          <t>Q37</t>
        </is>
      </c>
      <c r="B38" s="17" t="inlineStr">
        <is>
          <t>Part 3</t>
        </is>
      </c>
      <c r="C38" s="17" t="inlineStr">
        <is>
          <t>C</t>
        </is>
      </c>
      <c r="D38" s="18" t="inlineStr">
        <is>
          <t>Questions 37. Listen to the conversation.
Woman: Tom, why aren't the final sales figures printed yet? The executive committee meets in twenty minutes.
Man: I'm really sorry. The network printer on our floor has a paper jam, and the maintenance technician won't arrive until noon.
Woman: In that case, let's use the high-speed color printer in the marketing department.
Man: Good idea. I'll take the files over there right now.
Question 37. What will the man do next?</t>
        </is>
      </c>
      <c r="E38" s="18" t="inlineStr">
        <is>
          <t>[Q37 문제 번역]
What will the man do next?</t>
        </is>
      </c>
      <c r="F38" s="18" t="inlineStr">
        <is>
          <t>[정답 분석] 마케팅 부서의 프린터를 쓰자는 제안에 'I'll take the files over there right now'라고 동의했으므로 다른 부서에서 출력하겠다는 (C)가 정답입니다.</t>
        </is>
      </c>
      <c r="G38" s="18" t="inlineStr">
        <is>
          <t>marketing department(마케팅 부서); take over(가져가다)</t>
        </is>
      </c>
    </row>
    <row r="39">
      <c r="A39" s="20" t="inlineStr">
        <is>
          <t>Q38</t>
        </is>
      </c>
      <c r="B39" s="20" t="inlineStr">
        <is>
          <t>Part 3</t>
        </is>
      </c>
      <c r="C39" s="20" t="inlineStr">
        <is>
          <t>B</t>
        </is>
      </c>
      <c r="D39" s="21" t="inlineStr">
        <is>
          <t>Questions 38. Listen to the conversation.
Man: Good morning, front desk. How may I assist you today?
Woman: Hello, I have a reservation under Rebecca Hall for three nights starting this Thursday, but my conference schedule has changed. Can I extend my stay through Sunday night?
Man: Let me check our availability. Fortunately, we have a deluxe suite available for that extra night. Would you like me to update your booking?
Woman: Yes, please. Also, does the reservation include complimentary breakfast?
Question 38. Where does the conversation most likely take place?</t>
        </is>
      </c>
      <c r="E39" s="21" t="inlineStr">
        <is>
          <t>[Q38 문제 번역]
Where does the conversation most likely take place?</t>
        </is>
      </c>
      <c r="F39" s="21" t="inlineStr">
        <is>
          <t>[정답 분석] 남자의 'Good morning, front desk'와 숙박 예약 관련 대화로 보아 호텔 프런트 데스크임을 알 수 있습니다.</t>
        </is>
      </c>
      <c r="G39" s="21" t="inlineStr">
        <is>
          <t>front desk(호텔 안내 데스크); reservation(예약)</t>
        </is>
      </c>
    </row>
    <row r="40">
      <c r="A40" s="17" t="inlineStr">
        <is>
          <t>Q39</t>
        </is>
      </c>
      <c r="B40" s="17" t="inlineStr">
        <is>
          <t>Part 3</t>
        </is>
      </c>
      <c r="C40" s="17" t="inlineStr">
        <is>
          <t>C</t>
        </is>
      </c>
      <c r="D40" s="18" t="inlineStr">
        <is>
          <t>Questions 39. Listen to the conversation.
Man: Good morning, front desk. How may I assist you today?
Woman: Hello, I have a reservation under Rebecca Hall for three nights starting this Thursday, but my conference schedule has changed. Can I extend my stay through Sunday night?
Man: Let me check our availability. Fortunately, we have a deluxe suite available for that extra night. Would you like me to update your booking?
Woman: Yes, please. Also, does the reservation include complimentary breakfast?
Question 39. What does the woman want to do?</t>
        </is>
      </c>
      <c r="E40" s="18" t="inlineStr">
        <is>
          <t>[Q39 문제 번역]
What does the woman want to do?</t>
        </is>
      </c>
      <c r="F40" s="18" t="inlineStr">
        <is>
          <t>[정답 분석] 여자가 'Can I extend my stay through Sunday night?'라며 숙박 연장을 요청했습니다.</t>
        </is>
      </c>
      <c r="G40" s="18" t="inlineStr">
        <is>
          <t>extend one's stay(숙박을 연장하다); deluxe suite(디럭스 스위트룸)</t>
        </is>
      </c>
    </row>
    <row r="41">
      <c r="A41" s="20" t="inlineStr">
        <is>
          <t>Q40</t>
        </is>
      </c>
      <c r="B41" s="20" t="inlineStr">
        <is>
          <t>Part 3</t>
        </is>
      </c>
      <c r="C41" s="20" t="inlineStr">
        <is>
          <t>B</t>
        </is>
      </c>
      <c r="D41" s="21" t="inlineStr">
        <is>
          <t>Questions 40. Listen to the conversation.
Man: Good morning, front desk. How may I assist you today?
Woman: Hello, I have a reservation under Rebecca Hall for three nights starting this Thursday, but my conference schedule has changed. Can I extend my stay through Sunday night?
Man: Let me check our availability. Fortunately, we have a deluxe suite available for that extra night. Would you like me to update your booking?
Woman: Yes, please. Also, does the reservation include complimentary breakfast?
Question 40. What additional information does the woman ask about?</t>
        </is>
      </c>
      <c r="E41" s="21" t="inlineStr">
        <is>
          <t>[Q40 문제 번역]
What additional information does the woman ask about?</t>
        </is>
      </c>
      <c r="F41" s="21" t="inlineStr">
        <is>
          <t>[정답 분석] 마지막에 여자가 'does the reservation include complimentary breakfast?'라며 무료 조식 포함 여부를 묻습니다.</t>
        </is>
      </c>
      <c r="G41" s="21" t="inlineStr">
        <is>
          <t>complimentary breakfast(무료 조식); booking(예약)</t>
        </is>
      </c>
    </row>
    <row r="42">
      <c r="A42" s="17" t="inlineStr">
        <is>
          <t>Q41</t>
        </is>
      </c>
      <c r="B42" s="17" t="inlineStr">
        <is>
          <t>Part 3</t>
        </is>
      </c>
      <c r="C42" s="17" t="inlineStr">
        <is>
          <t>A</t>
        </is>
      </c>
      <c r="D42" s="18" t="inlineStr">
        <is>
          <t>Questions 41. Listen to the conversation.
Woman: Marcus, have you seen the initial analytics report from our autumn social media campaign?
Man: Yes, website traffic increased by 35% in the first week, and customer engagement on video posts is especially strong.
Woman: That's very encouraging. However, the conversion rate for our new product line is still slightly below our target.
Man: Why don't we add a limited-time 15% discount code to the next promotional newsletter?
Question 41. What are the speakers reviewing?</t>
        </is>
      </c>
      <c r="E42" s="18" t="inlineStr">
        <is>
          <t>[Q41 문제 번역]
What are the speakers reviewing?</t>
        </is>
      </c>
      <c r="F42" s="18" t="inlineStr">
        <is>
          <t>[정답 분석] 여자의 첫 대사 'analytics report from our autumn social media campaign'에서 소셜 미디어 캠페인 분석 보고서를 검토하고 있음을 알 수 있습니다.</t>
        </is>
      </c>
      <c r="G42" s="18" t="inlineStr">
        <is>
          <t>analytics report(분석 보고서); social media campaign(SNS 캠페인)</t>
        </is>
      </c>
    </row>
    <row r="43">
      <c r="A43" s="20" t="inlineStr">
        <is>
          <t>Q42</t>
        </is>
      </c>
      <c r="B43" s="20" t="inlineStr">
        <is>
          <t>Part 3</t>
        </is>
      </c>
      <c r="C43" s="20" t="inlineStr">
        <is>
          <t>B</t>
        </is>
      </c>
      <c r="D43" s="21" t="inlineStr">
        <is>
          <t>Questions 42. Listen to the conversation.
Woman: Marcus, have you seen the initial analytics report from our autumn social media campaign?
Man: Yes, website traffic increased by 35% in the first week, and customer engagement on video posts is especially strong.
Woman: That's very encouraging. However, the conversion rate for our new product line is still slightly below our target.
Man: Why don't we add a limited-time 15% discount code to the next promotional newsletter?
Question 42. What is an area of concern for the woman?</t>
        </is>
      </c>
      <c r="E43" s="21" t="inlineStr">
        <is>
          <t>[Q42 문제 번역]
What is an area of concern for the woman?</t>
        </is>
      </c>
      <c r="F43" s="21" t="inlineStr">
        <is>
          <t>[정답 분석] 여자가 'the conversion rate for our new product line is still slightly below our target'이라며 전환율이 목표치보다 낮다고 우려했습니다.</t>
        </is>
      </c>
      <c r="G43" s="21" t="inlineStr">
        <is>
          <t>conversion rate(전환율/구매율); target(목표치)</t>
        </is>
      </c>
    </row>
    <row r="44">
      <c r="A44" s="17" t="inlineStr">
        <is>
          <t>Q43</t>
        </is>
      </c>
      <c r="B44" s="17" t="inlineStr">
        <is>
          <t>Part 3</t>
        </is>
      </c>
      <c r="C44" s="17" t="inlineStr">
        <is>
          <t>B</t>
        </is>
      </c>
      <c r="D44" s="18" t="inlineStr">
        <is>
          <t>Questions 43. Listen to the conversation.
Woman: Marcus, have you seen the initial analytics report from our autumn social media campaign?
Man: Yes, website traffic increased by 35% in the first week, and customer engagement on video posts is especially strong.
Woman: That's very encouraging. However, the conversion rate for our new product line is still slightly below our target.
Man: Why don't we add a limited-time 15% discount code to the next promotional newsletter?
Question 43. What does the man suggest doing?</t>
        </is>
      </c>
      <c r="E44" s="18" t="inlineStr">
        <is>
          <t>[Q43 문제 번역]
What does the man suggest doing?</t>
        </is>
      </c>
      <c r="F44" s="18" t="inlineStr">
        <is>
          <t>[정답 분석] 남자가 'add a limited-time 15% discount code to the next promotional newsletter'를 제안했습니다.</t>
        </is>
      </c>
      <c r="G44" s="18" t="inlineStr">
        <is>
          <t>promotional newsletter(홍보 뉴스레터); discount code(할인 코드)</t>
        </is>
      </c>
    </row>
    <row r="45">
      <c r="A45" s="20" t="inlineStr">
        <is>
          <t>Q44</t>
        </is>
      </c>
      <c r="B45" s="20" t="inlineStr">
        <is>
          <t>Part 3</t>
        </is>
      </c>
      <c r="C45" s="20" t="inlineStr">
        <is>
          <t>B</t>
        </is>
      </c>
      <c r="D45" s="21" t="inlineStr">
        <is>
          <t>Questions 44. Listen to the conversation.
Man: Excuse me, Brenda. My electronic security badge isn't working at the fifth-floor research lab door.
Woman: Oh, security updated the access permissions yesterday for all contractors and part-time researchers. You'll need to get your badge re-encoded.
Man: Do I need to fill out a paper request form for that?
Woman: No, just visit the building security office on the ground floor with your employee identification card.
Question 44. What problem is the man experiencing?</t>
        </is>
      </c>
      <c r="E45" s="21" t="inlineStr">
        <is>
          <t>[Q44 문제 번역]
What problem is the man experiencing?</t>
        </is>
      </c>
      <c r="F45" s="21" t="inlineStr">
        <is>
          <t>[정답 분석] 남자가 'My electronic security badge isn't working at the fifth-floor research lab door'라고 문제를 설명했습니다.</t>
        </is>
      </c>
      <c r="G45" s="21" t="inlineStr">
        <is>
          <t>security badge(출입증/보안 카드); access permission(출입 권한)</t>
        </is>
      </c>
    </row>
    <row r="46">
      <c r="A46" s="17" t="inlineStr">
        <is>
          <t>Q45</t>
        </is>
      </c>
      <c r="B46" s="17" t="inlineStr">
        <is>
          <t>Part 3</t>
        </is>
      </c>
      <c r="C46" s="17" t="inlineStr">
        <is>
          <t>B</t>
        </is>
      </c>
      <c r="D46" s="18" t="inlineStr">
        <is>
          <t>Questions 45. Listen to the conversation.
Man: Excuse me, Brenda. My electronic security badge isn't working at the fifth-floor research lab door.
Woman: Oh, security updated the access permissions yesterday for all contractors and part-time researchers. You'll need to get your badge re-encoded.
Man: Do I need to fill out a paper request form for that?
Woman: No, just visit the building security office on the ground floor with your employee identification card.
Question 45. Why is the badge not working?</t>
        </is>
      </c>
      <c r="E46" s="18" t="inlineStr">
        <is>
          <t>[Q45 문제 번역]
Why is the badge not working?</t>
        </is>
      </c>
      <c r="F46" s="18" t="inlineStr">
        <is>
          <t>[정답 분석] 여자가 'security updated the access permissions yesterday'라고 이유를 밝혔습니다.</t>
        </is>
      </c>
      <c r="G46" s="18" t="inlineStr">
        <is>
          <t>contractor(도급업자/계약직); re-encode(재인코딩하다)</t>
        </is>
      </c>
    </row>
    <row r="47">
      <c r="A47" s="20" t="inlineStr">
        <is>
          <t>Q46</t>
        </is>
      </c>
      <c r="B47" s="20" t="inlineStr">
        <is>
          <t>Part 3</t>
        </is>
      </c>
      <c r="C47" s="20" t="inlineStr">
        <is>
          <t>C</t>
        </is>
      </c>
      <c r="D47" s="21" t="inlineStr">
        <is>
          <t>Questions 46. Listen to the conversation.
Man: Excuse me, Brenda. My electronic security badge isn't working at the fifth-floor research lab door.
Woman: Oh, security updated the access permissions yesterday for all contractors and part-time researchers. You'll need to get your badge re-encoded.
Man: Do I need to fill out a paper request form for that?
Woman: No, just visit the building security office on the ground floor with your employee identification card.
Question 46. Where should the man go?</t>
        </is>
      </c>
      <c r="E47" s="21" t="inlineStr">
        <is>
          <t>[Q46 문제 번역]
Where should the man go?</t>
        </is>
      </c>
      <c r="F47" s="21" t="inlineStr">
        <is>
          <t>[정답 분석] 여자가 'visit the building security office on the ground floor'라고 안내했습니다.</t>
        </is>
      </c>
      <c r="G47" s="21" t="inlineStr">
        <is>
          <t>ground floor(1층); identification card(신분증)</t>
        </is>
      </c>
    </row>
    <row r="48">
      <c r="A48" s="17" t="inlineStr">
        <is>
          <t>Q47</t>
        </is>
      </c>
      <c r="B48" s="17" t="inlineStr">
        <is>
          <t>Part 3</t>
        </is>
      </c>
      <c r="C48" s="17" t="inlineStr">
        <is>
          <t>B</t>
        </is>
      </c>
      <c r="D48" s="18" t="inlineStr">
        <is>
          <t>Questions 47. Listen to the conversation.
Woman: David, we have a major issue with order #812 for the hospital construction project. We only have 40 steel beams in stock, but they ordered 90.
Man: That's urgent. The shipment is scheduled to go out tomorrow afternoon. Let me contact our regional distribution center in Columbus.
Woman: Please check if they can expedite overnight shipping. The site manager emphasized that delays will incur penalties.
Man: I'll call their warehouse supervisor immediately.
Question 47. What item is in short supply?</t>
        </is>
      </c>
      <c r="E48" s="18" t="inlineStr">
        <is>
          <t>[Q47 문제 번역]
What item is in short supply?</t>
        </is>
      </c>
      <c r="F48" s="18" t="inlineStr">
        <is>
          <t>[정답 분석] 여자가 'We only have 40 steel beams in stock, but they ordered 90'이라며 철골 빔(steel beams) 부족을 알렸습니다.</t>
        </is>
      </c>
      <c r="G48" s="18" t="inlineStr">
        <is>
          <t>steel beams(철골 빔); in stock(재고가 있는)</t>
        </is>
      </c>
    </row>
    <row r="49">
      <c r="A49" s="20" t="inlineStr">
        <is>
          <t>Q48</t>
        </is>
      </c>
      <c r="B49" s="20" t="inlineStr">
        <is>
          <t>Part 3</t>
        </is>
      </c>
      <c r="C49" s="20" t="inlineStr">
        <is>
          <t>C</t>
        </is>
      </c>
      <c r="D49" s="21" t="inlineStr">
        <is>
          <t>Questions 48. Listen to the conversation.
Woman: David, we have a major issue with order #812 for the hospital construction project. We only have 40 steel beams in stock, but they ordered 90.
Man: That's urgent. The shipment is scheduled to go out tomorrow afternoon. Let me contact our regional distribution center in Columbus.
Woman: Please check if they can expedite overnight shipping. The site manager emphasized that delays will incur penalties.
Man: I'll call their warehouse supervisor immediately.
Question 48. What is scheduled for tomorrow afternoon?</t>
        </is>
      </c>
      <c r="E49" s="21" t="inlineStr">
        <is>
          <t>[Q48 문제 번역]
What is scheduled for tomorrow afternoon?</t>
        </is>
      </c>
      <c r="F49" s="21" t="inlineStr">
        <is>
          <t>[정답 분석] 남자가 'The shipment is scheduled to go out tomorrow afternoon'이라고 언급했습니다.</t>
        </is>
      </c>
      <c r="G49" s="21" t="inlineStr">
        <is>
          <t>shipment(출하, 배송); distribution center(물류 유통 센터)</t>
        </is>
      </c>
    </row>
    <row r="50">
      <c r="A50" s="17" t="inlineStr">
        <is>
          <t>Q49</t>
        </is>
      </c>
      <c r="B50" s="17" t="inlineStr">
        <is>
          <t>Part 3</t>
        </is>
      </c>
      <c r="C50" s="17" t="inlineStr">
        <is>
          <t>B</t>
        </is>
      </c>
      <c r="D50" s="18" t="inlineStr">
        <is>
          <t>Questions 49. Listen to the conversation.
Woman: David, we have a major issue with order #812 for the hospital construction project. We only have 40 steel beams in stock, but they ordered 90.
Man: That's urgent. The shipment is scheduled to go out tomorrow afternoon. Let me contact our regional distribution center in Columbus.
Woman: Please check if they can expedite overnight shipping. The site manager emphasized that delays will incur penalties.
Man: I'll call their warehouse supervisor immediately.
Question 49. What does the woman ask the man to request?</t>
        </is>
      </c>
      <c r="E50" s="18" t="inlineStr">
        <is>
          <t>[Q49 문제 번역]
What does the woman ask the man to request?</t>
        </is>
      </c>
      <c r="F50" s="18" t="inlineStr">
        <is>
          <t>[정답 분석] 여자가 'Please check if they can expedite overnight shipping'이라고 요청했습니다.</t>
        </is>
      </c>
      <c r="G50" s="18" t="inlineStr">
        <is>
          <t>expedite(신속히 처리하다); overnight shipping(익일 특급 배송); penalty(위약금)</t>
        </is>
      </c>
    </row>
    <row r="51">
      <c r="A51" s="20" t="inlineStr">
        <is>
          <t>Q50</t>
        </is>
      </c>
      <c r="B51" s="20" t="inlineStr">
        <is>
          <t>Part 3</t>
        </is>
      </c>
      <c r="C51" s="20" t="inlineStr">
        <is>
          <t>B</t>
        </is>
      </c>
      <c r="D51" s="21" t="inlineStr">
        <is>
          <t>Questions 50. Listen to the conversation.
Man: Hello, Bistro Bella. How can I help you?
Woman: Hi, I'd like to book a private dining room for a corporate retirement banquet on November 12th for approximately thirty guests.
Man: We have our Wine Cellar Room available on that evening. It accommodates up to thirty-five people and has a dedicated audiovisual screen.
Woman: That sounds perfect. Could you email me your set menu options and pricing tiers?
Question 50. What type of event is the woman planning?</t>
        </is>
      </c>
      <c r="E51" s="21" t="inlineStr">
        <is>
          <t>[Q50 문제 번역]
What type of event is the woman planning?</t>
        </is>
      </c>
      <c r="F51" s="21" t="inlineStr">
        <is>
          <t>[정답 분석] 여자가 'corporate retirement banquet on November 12th'라고 직접 언급했습니다.</t>
        </is>
      </c>
      <c r="G51" s="21" t="inlineStr">
        <is>
          <t>corporate retirement banquet(기업 퇴임 연회); accommodate(수용하다)</t>
        </is>
      </c>
    </row>
    <row r="52">
      <c r="A52" s="17" t="inlineStr">
        <is>
          <t>Q51</t>
        </is>
      </c>
      <c r="B52" s="17" t="inlineStr">
        <is>
          <t>Part 3</t>
        </is>
      </c>
      <c r="C52" s="17" t="inlineStr">
        <is>
          <t>B</t>
        </is>
      </c>
      <c r="D52" s="18" t="inlineStr">
        <is>
          <t>Questions 51. Listen to the conversation.
Man: Hello, Bistro Bella. How can I help you?
Woman: Hi, I'd like to book a private dining room for a corporate retirement banquet on November 12th for approximately thirty guests.
Man: We have our Wine Cellar Room available on that evening. It accommodates up to thirty-five people and has a dedicated audiovisual screen.
Woman: That sounds perfect. Could you email me your set menu options and pricing tiers?
Question 51. What feature of the room does the man highlight?</t>
        </is>
      </c>
      <c r="E52" s="18" t="inlineStr">
        <is>
          <t>[Q51 문제 번역]
What feature of the room does the man highlight?</t>
        </is>
      </c>
      <c r="F52" s="18" t="inlineStr">
        <is>
          <t>[정답 분석] 남자가 'has a dedicated audiovisual screen(전용 시청각 스크린 구비)'을 특징으로 소개했습니다.</t>
        </is>
      </c>
      <c r="G52" s="18" t="inlineStr">
        <is>
          <t>dedicated(전용의); audiovisual screen(시청각 스크린)</t>
        </is>
      </c>
    </row>
    <row r="53">
      <c r="A53" s="20" t="inlineStr">
        <is>
          <t>Q52</t>
        </is>
      </c>
      <c r="B53" s="20" t="inlineStr">
        <is>
          <t>Part 3</t>
        </is>
      </c>
      <c r="C53" s="20" t="inlineStr">
        <is>
          <t>B</t>
        </is>
      </c>
      <c r="D53" s="21" t="inlineStr">
        <is>
          <t>Questions 52. Listen to the conversation.
Man: Hello, Bistro Bella. How can I help you?
Woman: Hi, I'd like to book a private dining room for a corporate retirement banquet on November 12th for approximately thirty guests.
Man: We have our Wine Cellar Room available on that evening. It accommodates up to thirty-five people and has a dedicated audiovisual screen.
Woman: That sounds perfect. Could you email me your set menu options and pricing tiers?
Question 52. What will the man email to the woman?</t>
        </is>
      </c>
      <c r="E53" s="21" t="inlineStr">
        <is>
          <t>[Q52 문제 번역]
What will the man email to the woman?</t>
        </is>
      </c>
      <c r="F53" s="21" t="inlineStr">
        <is>
          <t>[정답 분석] 여자가 'email me your set menu options and pricing tiers'를 요청했습니다.</t>
        </is>
      </c>
      <c r="G53" s="21" t="inlineStr">
        <is>
          <t>set menu(세트 메뉴); pricing tiers(가격 등급/옵션)</t>
        </is>
      </c>
    </row>
    <row r="54">
      <c r="A54" s="17" t="inlineStr">
        <is>
          <t>Q53</t>
        </is>
      </c>
      <c r="B54" s="17" t="inlineStr">
        <is>
          <t>Part 3</t>
        </is>
      </c>
      <c r="C54" s="17" t="inlineStr">
        <is>
          <t>B</t>
        </is>
      </c>
      <c r="D54" s="18" t="inlineStr">
        <is>
          <t>Questions 53. Listen to the conversation.
Woman: Kevin, how is the transition to the new cloud-based accounting platform going?
Man: The data migration was completed over the weekend without any errors, but several team members find the invoice interface confusing.
Woman: We anticipated that. I've scheduled a live training webinar for tomorrow morning at 10:00 A.M.
Man: Great. I'll make sure all department staff attend and bring their questions.
Question 53. What took place over the weekend?</t>
        </is>
      </c>
      <c r="E54" s="18" t="inlineStr">
        <is>
          <t>[Q53 문제 번역]
What took place over the weekend?</t>
        </is>
      </c>
      <c r="F54" s="18" t="inlineStr">
        <is>
          <t>[정답 분석] 남자가 'The data migration was completed over the weekend'라고 설명했습니다.</t>
        </is>
      </c>
      <c r="G54" s="18" t="inlineStr">
        <is>
          <t>data migration(데이터 이전); cloud-based(클라우드 기반의)</t>
        </is>
      </c>
    </row>
    <row r="55">
      <c r="A55" s="20" t="inlineStr">
        <is>
          <t>Q54</t>
        </is>
      </c>
      <c r="B55" s="20" t="inlineStr">
        <is>
          <t>Part 3</t>
        </is>
      </c>
      <c r="C55" s="20" t="inlineStr">
        <is>
          <t>B</t>
        </is>
      </c>
      <c r="D55" s="21" t="inlineStr">
        <is>
          <t>Questions 54. Listen to the conversation.
Woman: Kevin, how is the transition to the new cloud-based accounting platform going?
Man: The data migration was completed over the weekend without any errors, but several team members find the invoice interface confusing.
Woman: We anticipated that. I've scheduled a live training webinar for tomorrow morning at 10:00 A.M.
Man: Great. I'll make sure all department staff attend and bring their questions.
Question 54. What difficulty are staff members experiencing?</t>
        </is>
      </c>
      <c r="E55" s="21" t="inlineStr">
        <is>
          <t>[Q54 문제 번역]
What difficulty are staff members experiencing?</t>
        </is>
      </c>
      <c r="F55" s="21" t="inlineStr">
        <is>
          <t>[정답 분석] 남자가 'several team members find the invoice interface confusing'이라고 지적했습니다.</t>
        </is>
      </c>
      <c r="G55" s="21" t="inlineStr">
        <is>
          <t>invoice interface(청구서 인터페이스); confusing(혼란스러운)</t>
        </is>
      </c>
    </row>
    <row r="56">
      <c r="A56" s="17" t="inlineStr">
        <is>
          <t>Q55</t>
        </is>
      </c>
      <c r="B56" s="17" t="inlineStr">
        <is>
          <t>Part 3</t>
        </is>
      </c>
      <c r="C56" s="17" t="inlineStr">
        <is>
          <t>A</t>
        </is>
      </c>
      <c r="D56" s="18" t="inlineStr">
        <is>
          <t>Questions 55. Listen to the conversation.
Woman: Kevin, how is the transition to the new cloud-based accounting platform going?
Man: The data migration was completed over the weekend without any errors, but several team members find the invoice interface confusing.
Woman: We anticipated that. I've scheduled a live training webinar for tomorrow morning at 10:00 A.M.
Man: Great. I'll make sure all department staff attend and bring their questions.
Question 55. What will happen tomorrow morning at 10:00 A.M.?</t>
        </is>
      </c>
      <c r="E56" s="18" t="inlineStr">
        <is>
          <t>[Q55 문제 번역]
What will happen tomorrow morning at 10:00 A.M.?</t>
        </is>
      </c>
      <c r="F56" s="18" t="inlineStr">
        <is>
          <t>[정답 분석] 여자가 'scheduled a live training webinar for tomorrow morning at 10:00 A.M.'이라고 말했습니다.</t>
        </is>
      </c>
      <c r="G56" s="18" t="inlineStr">
        <is>
          <t>live training webinar(실시간 교육 웹 세미나)</t>
        </is>
      </c>
    </row>
    <row r="57">
      <c r="A57" s="20" t="inlineStr">
        <is>
          <t>Q56</t>
        </is>
      </c>
      <c r="B57" s="20" t="inlineStr">
        <is>
          <t>Part 3</t>
        </is>
      </c>
      <c r="C57" s="20" t="inlineStr">
        <is>
          <t>B</t>
        </is>
      </c>
      <c r="D57" s="21" t="inlineStr">
        <is>
          <t>Questions 56. Listen to the conversation.
Man: Rachel, has Mr. Tanaka's flight from Tokyo landed yet?
Woman: Yes, his plane arrived on time at 3:15 P.M., but he called to say luggage retrieval is taking longer than usual.
Man: Okay. Highway 95 is heavily congested due to construction near the bridge. It might take over an hour to drive back to the downtown office.
Woman: Let's direct our driver to take the express toll road instead to save time.
Question 56. Who are the speakers trying to meet?</t>
        </is>
      </c>
      <c r="E57" s="21" t="inlineStr">
        <is>
          <t>[Q56 문제 번역]
Who are the speakers trying to meet?</t>
        </is>
      </c>
      <c r="F57" s="21" t="inlineStr">
        <is>
          <t>[정답 분석] 도쿄에서 비행기를 타고 온 미스터 다나카(Mr. Tanaka)를 마중하는 상황이므로 해외 방문객(international visitor)입니다.</t>
        </is>
      </c>
      <c r="G57" s="21" t="inlineStr">
        <is>
          <t>land(착륙하다); luggage retrieval(수하물 수취)</t>
        </is>
      </c>
    </row>
    <row r="58">
      <c r="A58" s="17" t="inlineStr">
        <is>
          <t>Q57</t>
        </is>
      </c>
      <c r="B58" s="17" t="inlineStr">
        <is>
          <t>Part 3</t>
        </is>
      </c>
      <c r="C58" s="17" t="inlineStr">
        <is>
          <t>B</t>
        </is>
      </c>
      <c r="D58" s="18" t="inlineStr">
        <is>
          <t>Questions 57. Listen to the conversation.
Man: Rachel, has Mr. Tanaka's flight from Tokyo landed yet?
Woman: Yes, his plane arrived on time at 3:15 P.M., but he called to say luggage retrieval is taking longer than usual.
Man: Okay. Highway 95 is heavily congested due to construction near the bridge. It might take over an hour to drive back to the downtown office.
Woman: Let's direct our driver to take the express toll road instead to save time.
Question 57. What is causing a delay on Highway 95?</t>
        </is>
      </c>
      <c r="E58" s="18" t="inlineStr">
        <is>
          <t>[Q57 문제 번역]
What is causing a delay on Highway 95?</t>
        </is>
      </c>
      <c r="F58" s="18" t="inlineStr">
        <is>
          <t>[정답 분석] 남자가 'Highway 95 is heavily congested due to construction near the bridge'라고 언급했습니다.</t>
        </is>
      </c>
      <c r="G58" s="18" t="inlineStr">
        <is>
          <t>heavily congested(심하게 정체된); road construction(도로 공사)</t>
        </is>
      </c>
    </row>
    <row r="59">
      <c r="A59" s="20" t="inlineStr">
        <is>
          <t>Q58</t>
        </is>
      </c>
      <c r="B59" s="20" t="inlineStr">
        <is>
          <t>Part 3</t>
        </is>
      </c>
      <c r="C59" s="20" t="inlineStr">
        <is>
          <t>B</t>
        </is>
      </c>
      <c r="D59" s="21" t="inlineStr">
        <is>
          <t>Questions 58. Listen to the conversation.
Man: Rachel, has Mr. Tanaka's flight from Tokyo landed yet?
Woman: Yes, his plane arrived on time at 3:15 P.M., but he called to say luggage retrieval is taking longer than usual.
Man: Okay. Highway 95 is heavily congested due to construction near the bridge. It might take over an hour to drive back to the downtown office.
Woman: Let's direct our driver to take the express toll road instead to save time.
Question 58. What solution does the woman suggest?</t>
        </is>
      </c>
      <c r="E59" s="21" t="inlineStr">
        <is>
          <t>[Q58 문제 번역]
What solution does the woman suggest?</t>
        </is>
      </c>
      <c r="F59" s="21" t="inlineStr">
        <is>
          <t>[정답 분석] 여자가 'direct our driver to take the express toll road instead'라고 대안을 제안했습니다.</t>
        </is>
      </c>
      <c r="G59" s="21" t="inlineStr">
        <is>
          <t>express toll road(고속 유료 도로); save time(시간을 절약하다)</t>
        </is>
      </c>
    </row>
    <row r="60">
      <c r="A60" s="17" t="inlineStr">
        <is>
          <t>Q59</t>
        </is>
      </c>
      <c r="B60" s="17" t="inlineStr">
        <is>
          <t>Part 3</t>
        </is>
      </c>
      <c r="C60" s="17" t="inlineStr">
        <is>
          <t>A</t>
        </is>
      </c>
      <c r="D60" s="18" t="inlineStr">
        <is>
          <t>Questions 59. Listen to the conversation.
Woman: Brian, have you had a chance to review the portfolios submitted for the senior graphic designer vacancy?
Man: Yes, two candidates really stood out. Elena Rostova has extensive branding experience, while Jason Kim has an impressive UI/UX background.
Woman: Both skill sets are valuable, but we urgently need someone to lead our corporate re-branding project next month.
Man: In that case, let's invite Ms. Rostova for an in-person interview this Thursday.
Question 59. What position are the speakers discussing?</t>
        </is>
      </c>
      <c r="E60" s="18" t="inlineStr">
        <is>
          <t>[Q59 문제 번역]
What position are the speakers discussing?</t>
        </is>
      </c>
      <c r="F60" s="18" t="inlineStr">
        <is>
          <t>[정답 분석] 여자가 첫 문장에서 'senior graphic designer vacancy'라고 직무를 밝혔습니다.</t>
        </is>
      </c>
      <c r="G60" s="18" t="inlineStr">
        <is>
          <t>vacancy(공석, 채용); portfolio(포트폴리오)</t>
        </is>
      </c>
    </row>
    <row r="61">
      <c r="A61" s="20" t="inlineStr">
        <is>
          <t>Q60</t>
        </is>
      </c>
      <c r="B61" s="20" t="inlineStr">
        <is>
          <t>Part 3</t>
        </is>
      </c>
      <c r="C61" s="20" t="inlineStr">
        <is>
          <t>B</t>
        </is>
      </c>
      <c r="D61" s="21" t="inlineStr">
        <is>
          <t>Questions 60. Listen to the conversation.
Woman: Brian, have you had a chance to review the portfolios submitted for the senior graphic designer vacancy?
Man: Yes, two candidates really stood out. Elena Rostova has extensive branding experience, while Jason Kim has an impressive UI/UX background.
Woman: Both skill sets are valuable, but we urgently need someone to lead our corporate re-branding project next month.
Man: In that case, let's invite Ms. Rostova for an in-person interview this Thursday.
Question 60. Why does the woman prefer Elena Rostova?</t>
        </is>
      </c>
      <c r="E61" s="21" t="inlineStr">
        <is>
          <t>[Q60 문제 번역]
Why does the woman prefer Elena Rostova?</t>
        </is>
      </c>
      <c r="F61" s="21" t="inlineStr">
        <is>
          <t>[정답 분석] 여자가 다음 달 기업 리브랜딩 프로젝트를 이끌 사람이 필요하다고 하자 남자가 'Elena Rostova has extensive branding experience'라고 했던 점과 연결됩니다.</t>
        </is>
      </c>
      <c r="G61" s="21" t="inlineStr">
        <is>
          <t>re-branding project(리브랜딩 프로젝트); extensive experience(폭넓은 경험)</t>
        </is>
      </c>
    </row>
    <row r="62">
      <c r="A62" s="17" t="inlineStr">
        <is>
          <t>Q61</t>
        </is>
      </c>
      <c r="B62" s="17" t="inlineStr">
        <is>
          <t>Part 3</t>
        </is>
      </c>
      <c r="C62" s="17" t="inlineStr">
        <is>
          <t>B</t>
        </is>
      </c>
      <c r="D62" s="18" t="inlineStr">
        <is>
          <t>Questions 61. Listen to the conversation.
Woman: Brian, have you had a chance to review the portfolios submitted for the senior graphic designer vacancy?
Man: Yes, two candidates really stood out. Elena Rostova has extensive branding experience, while Jason Kim has an impressive UI/UX background.
Woman: Both skill sets are valuable, but we urgently need someone to lead our corporate re-branding project next month.
Man: In that case, let's invite Ms. Rostova for an in-person interview this Thursday.
Question 61. What will the speakers do on Thursday?</t>
        </is>
      </c>
      <c r="E62" s="18" t="inlineStr">
        <is>
          <t>[Q61 문제 번역]
What will the speakers do on Thursday?</t>
        </is>
      </c>
      <c r="F62" s="18" t="inlineStr">
        <is>
          <t>[정답 분석] 남자가 'invite Ms. Rostova for an in-person interview this Thursday'라고 결정했습니다.</t>
        </is>
      </c>
      <c r="G62" s="18" t="inlineStr">
        <is>
          <t>in-person interview(대면 면접); applicant(지원자)</t>
        </is>
      </c>
    </row>
    <row r="63">
      <c r="A63" s="20" t="inlineStr">
        <is>
          <t>Q62</t>
        </is>
      </c>
      <c r="B63" s="20" t="inlineStr">
        <is>
          <t>Part 3</t>
        </is>
      </c>
      <c r="C63" s="20" t="inlineStr">
        <is>
          <t>B</t>
        </is>
      </c>
      <c r="D63" s="21" t="inlineStr">
        <is>
          <t>Questions 62. Listen to the conversation.
Man: Welcome to City Center Mall management. How can I help you, Ms. Clark?
Woman: I manage the Apex Electronics boutique on the second floor. We're scheduled to start our interior remodeling next Monday, but we need temporary storage for our display fixtures.
Man: We have empty storage units in the basement concourse available for short-term lease.
Woman: That's wonderful. Can we access the freight elevator during evening hours to move the fixtures?
Question 62. Who most likely is the woman?</t>
        </is>
      </c>
      <c r="E63" s="21" t="inlineStr">
        <is>
          <t>[Q62 문제 번역]
Who most likely is the woman?</t>
        </is>
      </c>
      <c r="F63" s="21" t="inlineStr">
        <is>
          <t>[정답 분석] 여자가 'I manage the Apex Electronics boutique on the second floor'라고 신분을 밝혔습니다.</t>
        </is>
      </c>
      <c r="G63" s="21" t="inlineStr">
        <is>
          <t>interior remodeling(실내 리모델링); display fixture(진열 설비)</t>
        </is>
      </c>
    </row>
    <row r="64">
      <c r="A64" s="17" t="inlineStr">
        <is>
          <t>Q63</t>
        </is>
      </c>
      <c r="B64" s="17" t="inlineStr">
        <is>
          <t>Part 3</t>
        </is>
      </c>
      <c r="C64" s="17" t="inlineStr">
        <is>
          <t>B</t>
        </is>
      </c>
      <c r="D64" s="18" t="inlineStr">
        <is>
          <t>Questions 63. Listen to the conversation.
Man: Welcome to City Center Mall management. How can I help you, Ms. Clark?
Woman: I manage the Apex Electronics boutique on the second floor. We're scheduled to start our interior remodeling next Monday, but we need temporary storage for our display fixtures.
Man: We have empty storage units in the basement concourse available for short-term lease.
Woman: That's wonderful. Can we access the freight elevator during evening hours to move the fixtures?
Question 63. What does the woman request from mall management?</t>
        </is>
      </c>
      <c r="E64" s="18" t="inlineStr">
        <is>
          <t>[Q63 문제 번역]
What does the woman request from mall management?</t>
        </is>
      </c>
      <c r="F64" s="18" t="inlineStr">
        <is>
          <t>[정답 분석] 여자가 'we need temporary storage for our display fixtures'라고 임시 보관 장소를 요청했습니다.</t>
        </is>
      </c>
      <c r="G64" s="18" t="inlineStr">
        <is>
          <t>temporary storage(임시 보관함); short-term lease(단기 임대)</t>
        </is>
      </c>
    </row>
    <row r="65">
      <c r="A65" s="20" t="inlineStr">
        <is>
          <t>Q64</t>
        </is>
      </c>
      <c r="B65" s="20" t="inlineStr">
        <is>
          <t>Part 3</t>
        </is>
      </c>
      <c r="C65" s="20" t="inlineStr">
        <is>
          <t>B</t>
        </is>
      </c>
      <c r="D65" s="21" t="inlineStr">
        <is>
          <t>Questions 64. Listen to the conversation.
Man: Welcome to City Center Mall management. How can I help you, Ms. Clark?
Woman: I manage the Apex Electronics boutique on the second floor. We're scheduled to start our interior remodeling next Monday, but we need temporary storage for our display fixtures.
Man: We have empty storage units in the basement concourse available for short-term lease.
Woman: That's wonderful. Can we access the freight elevator during evening hours to move the fixtures?
Question 64. What does the woman ask about regarding the freight elevator?</t>
        </is>
      </c>
      <c r="E65" s="21" t="inlineStr">
        <is>
          <t>[Q64 문제 번역]
What does the woman ask about regarding the freight elevator?</t>
        </is>
      </c>
      <c r="F65" s="21" t="inlineStr">
        <is>
          <t>[정답 분석] 여자가 'Can we access the freight elevator during evening hours'라며 야간 이용 가능 여부를 물었습니다.</t>
        </is>
      </c>
      <c r="G65" s="21" t="inlineStr">
        <is>
          <t>freight elevator(화물용 엘리베이터); access during evening(야간 이용)</t>
        </is>
      </c>
    </row>
    <row r="66">
      <c r="A66" s="17" t="inlineStr">
        <is>
          <t>Q65</t>
        </is>
      </c>
      <c r="B66" s="17" t="inlineStr">
        <is>
          <t>Part 3</t>
        </is>
      </c>
      <c r="C66" s="17" t="inlineStr">
        <is>
          <t>B</t>
        </is>
      </c>
      <c r="D66" s="18" t="inlineStr">
        <is>
          <t>Questions 65. Listen to the conversation.
Woman: Greg, did the commercial printing company deliver our brochures for next week's renewable energy expo?
Man: They just arrived twenty minutes ago, but unfortunately there's a serious typo on the front cover. Our website address is misspelled.
Woman: Oh no! We can't distribute those to prospective international investors.
Man: Don't worry. I called the printer, and they agreed to reprint the entire batch and rush deliver them by Friday at no extra charge.
Question 65. What event are the speakers preparing for?</t>
        </is>
      </c>
      <c r="E66" s="18" t="inlineStr">
        <is>
          <t>[Q65 문제 번역]
What event are the speakers preparing for?</t>
        </is>
      </c>
      <c r="F66" s="18" t="inlineStr">
        <is>
          <t>[정답 분석] 여자가 'next week's renewable energy expo'를 언급했습니다.</t>
        </is>
      </c>
      <c r="G66" s="18" t="inlineStr">
        <is>
          <t>renewable energy expo(신재생에너지 엑스포); brochure(안내 브로슈어)</t>
        </is>
      </c>
    </row>
    <row r="67">
      <c r="A67" s="20" t="inlineStr">
        <is>
          <t>Q66</t>
        </is>
      </c>
      <c r="B67" s="20" t="inlineStr">
        <is>
          <t>Part 3</t>
        </is>
      </c>
      <c r="C67" s="20" t="inlineStr">
        <is>
          <t>C</t>
        </is>
      </c>
      <c r="D67" s="21" t="inlineStr">
        <is>
          <t>Questions 66. Listen to the conversation.
Woman: Greg, did the commercial printing company deliver our brochures for next week's renewable energy expo?
Man: They just arrived twenty minutes ago, but unfortunately there's a serious typo on the front cover. Our website address is misspelled.
Woman: Oh no! We can't distribute those to prospective international investors.
Man: Don't worry. I called the printer, and they agreed to reprint the entire batch and rush deliver them by Friday at no extra charge.
Question 66. What is wrong with the promotional brochures?</t>
        </is>
      </c>
      <c r="E67" s="21" t="inlineStr">
        <is>
          <t>[Q66 문제 번역]
What is wrong with the promotional brochures?</t>
        </is>
      </c>
      <c r="F67" s="21" t="inlineStr">
        <is>
          <t>[정답 분석] 남자가 'serious typo on the front cover. Our website address is misspelled'라고 문제를 알렸습니다.</t>
        </is>
      </c>
      <c r="G67" s="21" t="inlineStr">
        <is>
          <t>typo(오타); misspelled(철자가 틀린); distribute(배포하다)</t>
        </is>
      </c>
    </row>
    <row r="68">
      <c r="A68" s="17" t="inlineStr">
        <is>
          <t>Q67</t>
        </is>
      </c>
      <c r="B68" s="17" t="inlineStr">
        <is>
          <t>Part 3</t>
        </is>
      </c>
      <c r="C68" s="17" t="inlineStr">
        <is>
          <t>B</t>
        </is>
      </c>
      <c r="D68" s="18" t="inlineStr">
        <is>
          <t>Questions 67. Listen to the conversation.
Woman: Greg, did the commercial printing company deliver our brochures for next week's renewable energy expo?
Man: They just arrived twenty minutes ago, but unfortunately there's a serious typo on the front cover. Our website address is misspelled.
Woman: Oh no! We can't distribute those to prospective international investors.
Man: Don't worry. I called the printer, and they agreed to reprint the entire batch and rush deliver them by Friday at no extra charge.
Question 67. What did the printing company agree to do?</t>
        </is>
      </c>
      <c r="E68" s="18" t="inlineStr">
        <is>
          <t>[Q67 문제 번역]
What did the printing company agree to do?</t>
        </is>
      </c>
      <c r="F68" s="18" t="inlineStr">
        <is>
          <t>[정답 분석] 남자가 'reprint the entire batch and rush deliver them by Friday at no extra charge'라고 인쇄소의 무료 재인쇄 및 특급 배송 약속을 전했습니다.</t>
        </is>
      </c>
      <c r="G68" s="18" t="inlineStr">
        <is>
          <t>at no extra charge(추가 비용 없이); rush deliver(특급 배송하다)</t>
        </is>
      </c>
    </row>
    <row r="69">
      <c r="A69" s="20" t="inlineStr">
        <is>
          <t>Q68</t>
        </is>
      </c>
      <c r="B69" s="20" t="inlineStr">
        <is>
          <t>Part 3</t>
        </is>
      </c>
      <c r="C69" s="20" t="inlineStr">
        <is>
          <t>B</t>
        </is>
      </c>
      <c r="D69" s="21" t="inlineStr">
        <is>
          <t>Questions 68. Listen to the conversation.
Man: Laura, the executive board requested that all division directors submit their preliminary fiscal year budgets by this Friday.
Woman: Our department's research funding was cut by 8% last quarter. Will we have room to upgrade our laboratory testing spectrometers?
Man: The finance director indicated that capital equipment upgrades will be funded through a separate innovation grant.
Woman: That's a huge relief. I will finalize our operating expenses spreadsheet this afternoon.
Question 68. What must division directors submit by Friday?</t>
        </is>
      </c>
      <c r="E69" s="21" t="inlineStr">
        <is>
          <t>[Q68 문제 번역]
What must division directors submit by Friday?</t>
        </is>
      </c>
      <c r="F69" s="21" t="inlineStr">
        <is>
          <t>[정답 분석] 남자가 첫 문장에서 'submit their preliminary fiscal year budgets by this Friday'라고 말했습니다.</t>
        </is>
      </c>
      <c r="G69" s="21" t="inlineStr">
        <is>
          <t>preliminary budget(예비 예산안); fiscal year(회계연도)</t>
        </is>
      </c>
    </row>
    <row r="70">
      <c r="A70" s="17" t="inlineStr">
        <is>
          <t>Q69</t>
        </is>
      </c>
      <c r="B70" s="17" t="inlineStr">
        <is>
          <t>Part 3</t>
        </is>
      </c>
      <c r="C70" s="17" t="inlineStr">
        <is>
          <t>B</t>
        </is>
      </c>
      <c r="D70" s="18" t="inlineStr">
        <is>
          <t>Questions 69. Listen to the conversation.
Man: Laura, the executive board requested that all division directors submit their preliminary fiscal year budgets by this Friday.
Woman: Our department's research funding was cut by 8% last quarter. Will we have room to upgrade our laboratory testing spectrometers?
Man: The finance director indicated that capital equipment upgrades will be funded through a separate innovation grant.
Woman: That's a huge relief. I will finalize our operating expenses spreadsheet this afternoon.
Question 69. How will the laboratory equipment upgrades be financed?</t>
        </is>
      </c>
      <c r="E70" s="18" t="inlineStr">
        <is>
          <t>[Q69 문제 번역]
How will the laboratory equipment upgrades be financed?</t>
        </is>
      </c>
      <c r="F70" s="18" t="inlineStr">
        <is>
          <t>[정답 분석] 남자가 'funded through a separate innovation grant'라고 설명했습니다.</t>
        </is>
      </c>
      <c r="G70" s="18" t="inlineStr">
        <is>
          <t>capital equipment(자본 설비); innovation grant(혁신 지원금)</t>
        </is>
      </c>
    </row>
    <row r="71">
      <c r="A71" s="20" t="inlineStr">
        <is>
          <t>Q70</t>
        </is>
      </c>
      <c r="B71" s="20" t="inlineStr">
        <is>
          <t>Part 3</t>
        </is>
      </c>
      <c r="C71" s="20" t="inlineStr">
        <is>
          <t>C</t>
        </is>
      </c>
      <c r="D71" s="21" t="inlineStr">
        <is>
          <t>Questions 70. Listen to the conversation.
Man: Laura, the executive board requested that all division directors submit their preliminary fiscal year budgets by this Friday.
Woman: Our department's research funding was cut by 8% last quarter. Will we have room to upgrade our laboratory testing spectrometers?
Man: The finance director indicated that capital equipment upgrades will be funded through a separate innovation grant.
Woman: That's a huge relief. I will finalize our operating expenses spreadsheet this afternoon.
Question 70. What will the woman work on this afternoon?</t>
        </is>
      </c>
      <c r="E71" s="21" t="inlineStr">
        <is>
          <t>[Q70 문제 번역]
What will the woman work on this afternoon?</t>
        </is>
      </c>
      <c r="F71" s="21" t="inlineStr">
        <is>
          <t>[정답 분석] 여자가 'finalize our operating expenses spreadsheet this afternoon'이라고 약속했습니다.</t>
        </is>
      </c>
      <c r="G71" s="21" t="inlineStr">
        <is>
          <t>operating expenses(운영비); spreadsheet(스프레드시트)</t>
        </is>
      </c>
    </row>
    <row r="72">
      <c r="A72" s="17" t="inlineStr">
        <is>
          <t>Q71</t>
        </is>
      </c>
      <c r="B72" s="17" t="inlineStr">
        <is>
          <t>Part 4</t>
        </is>
      </c>
      <c r="C72" s="17" t="inlineStr">
        <is>
          <t>A</t>
        </is>
      </c>
      <c r="D72" s="18" t="inlineStr">
        <is>
          <t>Question 71. Listen to the following announcement.
Attention all employees on the third and fourth floors. Maintenance crews will be conducting scheduled inspections of the central air conditioning units beginning at 1:00 P.M. today. As a result, cooling systems will be temporarily shut down for approximately two hours. We apologize for any inconvenience and suggest opening the corridor windows for ventilation. If your department experiences excessive heat, supervisors may authorize remote work for the remainder of the afternoon.
Question 71. What is the announcement mainly about?</t>
        </is>
      </c>
      <c r="E72" s="18" t="inlineStr">
        <is>
          <t>[Q71 문제 번역]
What is the announcement mainly about?</t>
        </is>
      </c>
      <c r="F72" s="18" t="inlineStr">
        <is>
          <t>[정답 분석] 'cooling systems will be temporarily shut down for approximately two hours'에서 냉방 서비스 일시 중단에 관한 공지임을 알 수 있습니다.</t>
        </is>
      </c>
      <c r="G72" s="18" t="inlineStr">
        <is>
          <t>temporary suspension(일시 중단); cooling service(냉방 서비스)</t>
        </is>
      </c>
    </row>
    <row r="73">
      <c r="A73" s="20" t="inlineStr">
        <is>
          <t>Q72</t>
        </is>
      </c>
      <c r="B73" s="20" t="inlineStr">
        <is>
          <t>Part 4</t>
        </is>
      </c>
      <c r="C73" s="20" t="inlineStr">
        <is>
          <t>B</t>
        </is>
      </c>
      <c r="D73" s="21" t="inlineStr">
        <is>
          <t>Question 72. Listen to the following announcement.
Attention all employees on the third and fourth floors. Maintenance crews will be conducting scheduled inspections of the central air conditioning units beginning at 1:00 P.M. today. As a result, cooling systems will be temporarily shut down for approximately two hours. We apologize for any inconvenience and suggest opening the corridor windows for ventilation. If your department experiences excessive heat, supervisors may authorize remote work for the remainder of the afternoon.
Question 72. How long will the system be shut down?</t>
        </is>
      </c>
      <c r="E73" s="21" t="inlineStr">
        <is>
          <t>[Q72 문제 번역]
How long will the system be shut down?</t>
        </is>
      </c>
      <c r="F73" s="21" t="inlineStr">
        <is>
          <t>[정답 분석] 화자가 'for approximately two hours'라고 직접 명시했습니다.</t>
        </is>
      </c>
      <c r="G73" s="21" t="inlineStr">
        <is>
          <t>approximately(대략); shut down(중단되다)</t>
        </is>
      </c>
    </row>
    <row r="74">
      <c r="A74" s="17" t="inlineStr">
        <is>
          <t>Q73</t>
        </is>
      </c>
      <c r="B74" s="17" t="inlineStr">
        <is>
          <t>Part 4</t>
        </is>
      </c>
      <c r="C74" s="17" t="inlineStr">
        <is>
          <t>B</t>
        </is>
      </c>
      <c r="D74" s="18" t="inlineStr">
        <is>
          <t>Question 73. Listen to the following announcement.
Attention all employees on the third and fourth floors. Maintenance crews will be conducting scheduled inspections of the central air conditioning units beginning at 1:00 P.M. today. As a result, cooling systems will be temporarily shut down for approximately two hours. We apologize for any inconvenience and suggest opening the corridor windows for ventilation. If your department experiences excessive heat, supervisors may authorize remote work for the remainder of the afternoon.
Question 73. What are supervisors authorized to do if offices become too hot?</t>
        </is>
      </c>
      <c r="E74" s="18" t="inlineStr">
        <is>
          <t>[Q73 문제 번역]
What are supervisors authorized to do if offices become too hot?</t>
        </is>
      </c>
      <c r="F74" s="18" t="inlineStr">
        <is>
          <t>[정답 분석] 화자가 'supervisors may authorize remote work for the remainder of the afternoon'이라고 말했습니다.</t>
        </is>
      </c>
      <c r="G74" s="18" t="inlineStr">
        <is>
          <t>authorize(승인하다); remote work(원격/재택 근무)</t>
        </is>
      </c>
    </row>
    <row r="75">
      <c r="A75" s="20" t="inlineStr">
        <is>
          <t>Q74</t>
        </is>
      </c>
      <c r="B75" s="20" t="inlineStr">
        <is>
          <t>Part 4</t>
        </is>
      </c>
      <c r="C75" s="20" t="inlineStr">
        <is>
          <t>B</t>
        </is>
      </c>
      <c r="D75" s="21" t="inlineStr">
        <is>
          <t>Question 74. Listen to the following announcement.
Hello, Mr. Tanaka. This is Brenda Walker from Apex Courier Services. I am calling regarding your package scheduled for delivery this afternoon. Unfortunately, our delivery driver attempted delivery at 11:30 A.M., but no one was available to sign for the parcel. Because the contents require a signature, we cannot leave it at the front door. Please call us back at 555-0192 before 6:00 P.M. to reschedule delivery for tomorrow or authorize us to drop it off with your building concierge.
Question 74. Why is the speaker calling?</t>
        </is>
      </c>
      <c r="E75" s="21" t="inlineStr">
        <is>
          <t>[Q74 문제 번역]
Why is the speaker calling?</t>
        </is>
      </c>
      <c r="F75" s="21" t="inlineStr">
        <is>
          <t>[정답 분석] 배달원이 방문했으나 서명할 사람이 없어 전달하지 못했다는 내용이므로 (B)가 정답입니다.</t>
        </is>
      </c>
      <c r="G75" s="21" t="inlineStr">
        <is>
          <t>attempted delivery(배송을 시도했다); parcel(소포)</t>
        </is>
      </c>
    </row>
    <row r="76">
      <c r="A76" s="17" t="inlineStr">
        <is>
          <t>Q75</t>
        </is>
      </c>
      <c r="B76" s="17" t="inlineStr">
        <is>
          <t>Part 4</t>
        </is>
      </c>
      <c r="C76" s="17" t="inlineStr">
        <is>
          <t>B</t>
        </is>
      </c>
      <c r="D76" s="18" t="inlineStr">
        <is>
          <t>Question 75. Listen to the following announcement.
Hello, Mr. Tanaka. This is Brenda Walker from Apex Courier Services. I am calling regarding your package scheduled for delivery this afternoon. Unfortunately, our delivery driver attempted delivery at 11:30 A.M., but no one was available to sign for the parcel. Because the contents require a signature, we cannot leave it at the front door. Please call us back at 555-0192 before 6:00 P.M. to reschedule delivery for tomorrow or authorize us to drop it off with your building concierge.
Question 75. Why couldn't the driver leave the package at the front door?</t>
        </is>
      </c>
      <c r="E76" s="18" t="inlineStr">
        <is>
          <t>[Q75 문제 번역]
Why couldn't the driver leave the package at the front door?</t>
        </is>
      </c>
      <c r="F76" s="18" t="inlineStr">
        <is>
          <t>[정답 분석] 화자가 'Because the contents require a signature'라고 명확한 이유를 밝혔습니다.</t>
        </is>
      </c>
      <c r="G76" s="18" t="inlineStr">
        <is>
          <t>recipient signature(수령인 서명); require(필요로 하다)</t>
        </is>
      </c>
    </row>
    <row r="77">
      <c r="A77" s="20" t="inlineStr">
        <is>
          <t>Q76</t>
        </is>
      </c>
      <c r="B77" s="20" t="inlineStr">
        <is>
          <t>Part 4</t>
        </is>
      </c>
      <c r="C77" s="20" t="inlineStr">
        <is>
          <t>B</t>
        </is>
      </c>
      <c r="D77" s="21" t="inlineStr">
        <is>
          <t>Question 76. Listen to the following announcement.
Hello, Mr. Tanaka. This is Brenda Walker from Apex Courier Services. I am calling regarding your package scheduled for delivery this afternoon. Unfortunately, our delivery driver attempted delivery at 11:30 A.M., but no one was available to sign for the parcel. Because the contents require a signature, we cannot leave it at the front door. Please call us back at 555-0192 before 6:00 P.M. to reschedule delivery for tomorrow or authorize us to drop it off with your building concierge.
Question 76. What does the speaker ask Mr. Tanaka to do by 6:00 P.M.?</t>
        </is>
      </c>
      <c r="E77" s="21" t="inlineStr">
        <is>
          <t>[Q76 문제 번역]
What does the speaker ask Mr. Tanaka to do by 6:00 P.M.?</t>
        </is>
      </c>
      <c r="F77" s="21" t="inlineStr">
        <is>
          <t>[정답 분석] 화자가 'Please call us back at 555-0192 before 6:00 P.M. to reschedule delivery'라고 요청했습니다.</t>
        </is>
      </c>
      <c r="G77" s="21" t="inlineStr">
        <is>
          <t>reschedule delivery(배송 일정을 재조정하다); concierge(안내인/관리인)</t>
        </is>
      </c>
    </row>
    <row r="78">
      <c r="A78" s="17" t="inlineStr">
        <is>
          <t>Q77</t>
        </is>
      </c>
      <c r="B78" s="17" t="inlineStr">
        <is>
          <t>Part 4</t>
        </is>
      </c>
      <c r="C78" s="17" t="inlineStr">
        <is>
          <t>A</t>
        </is>
      </c>
      <c r="D78" s="18" t="inlineStr">
        <is>
          <t>Question 77. Listen to the following announcement.
Good morning, esteemed shareholders and partners. I am thrilled to welcome you to the twenty-fifth annual general meeting of Solis Energy Solutions. Over the past twelve months, our international solar farm installations expanded by 42%, driving our gross revenues to an all-time record of $320 million. This milestone was made possible by our dedicated engineering team and the strategic opening of our regional battery manufacturing plant in Munich. Following my remarks, Chief Financial Officer David Sterling will present our detailed financial projections for the upcoming fiscal year.
Question 77. What type of event is taking place?</t>
        </is>
      </c>
      <c r="E78" s="18" t="inlineStr">
        <is>
          <t>[Q77 문제 번역]
What type of event is taking place?</t>
        </is>
      </c>
      <c r="F78" s="18" t="inlineStr">
        <is>
          <t>[정답 분석] 화자의 첫 마디 'esteemed shareholders and partners... annual general meeting'에서 주주총회임을 알 수 있습니다.</t>
        </is>
      </c>
      <c r="G78" s="18" t="inlineStr">
        <is>
          <t>shareholder(주주); annual general meeting(정기 주주총회)</t>
        </is>
      </c>
    </row>
    <row r="79">
      <c r="A79" s="20" t="inlineStr">
        <is>
          <t>Q78</t>
        </is>
      </c>
      <c r="B79" s="20" t="inlineStr">
        <is>
          <t>Part 4</t>
        </is>
      </c>
      <c r="C79" s="20" t="inlineStr">
        <is>
          <t>B</t>
        </is>
      </c>
      <c r="D79" s="21" t="inlineStr">
        <is>
          <t>Question 78. Listen to the following announcement.
Good morning, esteemed shareholders and partners. I am thrilled to welcome you to the twenty-fifth annual general meeting of Solis Energy Solutions. Over the past twelve months, our international solar farm installations expanded by 42%, driving our gross revenues to an all-time record of $320 million. This milestone was made possible by our dedicated engineering team and the strategic opening of our regional battery manufacturing plant in Munich. Following my remarks, Chief Financial Officer David Sterling will present our detailed financial projections for the upcoming fiscal year.
Question 78. What milestone is highlighted by the speaker?</t>
        </is>
      </c>
      <c r="E79" s="21" t="inlineStr">
        <is>
          <t>[Q78 문제 번역]
What milestone is highlighted by the speaker?</t>
        </is>
      </c>
      <c r="F79" s="21" t="inlineStr">
        <is>
          <t>[정답 분석] 화자가 'driving our gross revenues to an all-time record of $320 million'을 강조했습니다.</t>
        </is>
      </c>
      <c r="G79" s="21" t="inlineStr">
        <is>
          <t>gross revenue(총매출); all-time record(역대 최고 기록)</t>
        </is>
      </c>
    </row>
    <row r="80">
      <c r="A80" s="17" t="inlineStr">
        <is>
          <t>Q79</t>
        </is>
      </c>
      <c r="B80" s="17" t="inlineStr">
        <is>
          <t>Part 4</t>
        </is>
      </c>
      <c r="C80" s="17" t="inlineStr">
        <is>
          <t>C</t>
        </is>
      </c>
      <c r="D80" s="18" t="inlineStr">
        <is>
          <t>Question 79. Listen to the following announcement.
Good morning, esteemed shareholders and partners. I am thrilled to welcome you to the twenty-fifth annual general meeting of Solis Energy Solutions. Over the past twelve months, our international solar farm installations expanded by 42%, driving our gross revenues to an all-time record of $320 million. This milestone was made possible by our dedicated engineering team and the strategic opening of our regional battery manufacturing plant in Munich. Following my remarks, Chief Financial Officer David Sterling will present our detailed financial projections for the upcoming fiscal year.
Question 79. Who will speak next?</t>
        </is>
      </c>
      <c r="E80" s="18" t="inlineStr">
        <is>
          <t>[Q79 문제 번역]
Who will speak next?</t>
        </is>
      </c>
      <c r="F80" s="18" t="inlineStr">
        <is>
          <t>[정답 분석] 'Chief Financial Officer David Sterling will present our detailed financial projections'라고 다음 연사를 소개했습니다.</t>
        </is>
      </c>
      <c r="G80" s="18" t="inlineStr">
        <is>
          <t>Chief Financial Officer(최고재무책임자, CFO); financial projections(재무 전망)</t>
        </is>
      </c>
    </row>
    <row r="81">
      <c r="A81" s="20" t="inlineStr">
        <is>
          <t>Q80</t>
        </is>
      </c>
      <c r="B81" s="20" t="inlineStr">
        <is>
          <t>Part 4</t>
        </is>
      </c>
      <c r="C81" s="20" t="inlineStr">
        <is>
          <t>B</t>
        </is>
      </c>
      <c r="D81" s="21" t="inlineStr">
        <is>
          <t>Question 80. Listen to the following announcement.
This is Kimberly Adams with your 8:00 A.M. Metro Transit update on WBLN Radio. Commuters heading into the downtown business district should expect severe delays on the westbound lanes of Interstate 80. An overturned commercial freight truck near Exit 14 has completely blocked two right lanes, resulting in a backup of over five miles. Transportation officials recommend using Route 22 as an alternate detour. Looking ahead, morning mist will clear by mid-afternoon, making way for sunny skies and a high of 72 degrees.
Question 80. What is causing the delay on Interstate 80?</t>
        </is>
      </c>
      <c r="E81" s="21" t="inlineStr">
        <is>
          <t>[Q80 문제 번역]
What is causing the delay on Interstate 80?</t>
        </is>
      </c>
      <c r="F81" s="21" t="inlineStr">
        <is>
          <t>[정답 분석] 화자가 'An overturned commercial freight truck near Exit 14'라고 사고 원인을 밝혔습니다.</t>
        </is>
      </c>
      <c r="G81" s="21" t="inlineStr">
        <is>
          <t>overturned(전복된); freight truck(화물 트럭); backup(정체)</t>
        </is>
      </c>
    </row>
    <row r="82">
      <c r="A82" s="17" t="inlineStr">
        <is>
          <t>Q81</t>
        </is>
      </c>
      <c r="B82" s="17" t="inlineStr">
        <is>
          <t>Part 4</t>
        </is>
      </c>
      <c r="C82" s="17" t="inlineStr">
        <is>
          <t>C</t>
        </is>
      </c>
      <c r="D82" s="18" t="inlineStr">
        <is>
          <t>Question 81. Listen to the following announcement.
This is Kimberly Adams with your 8:00 A.M. Metro Transit update on WBLN Radio. Commuters heading into the downtown business district should expect severe delays on the westbound lanes of Interstate 80. An overturned commercial freight truck near Exit 14 has completely blocked two right lanes, resulting in a backup of over five miles. Transportation officials recommend using Route 22 as an alternate detour. Looking ahead, morning mist will clear by mid-afternoon, making way for sunny skies and a high of 72 degrees.
Question 81. What alternate route is recommended?</t>
        </is>
      </c>
      <c r="E82" s="18" t="inlineStr">
        <is>
          <t>[Q81 문제 번역]
What alternate route is recommended?</t>
        </is>
      </c>
      <c r="F82" s="18" t="inlineStr">
        <is>
          <t>[정답 분석] 화자가 'recommend using Route 22 as an alternate detour'라고 안내했습니다.</t>
        </is>
      </c>
      <c r="G82" s="18" t="inlineStr">
        <is>
          <t>detour(우회로); alternate route(대체 경로)</t>
        </is>
      </c>
    </row>
    <row r="83">
      <c r="A83" s="20" t="inlineStr">
        <is>
          <t>Q82</t>
        </is>
      </c>
      <c r="B83" s="20" t="inlineStr">
        <is>
          <t>Part 4</t>
        </is>
      </c>
      <c r="C83" s="20" t="inlineStr">
        <is>
          <t>B</t>
        </is>
      </c>
      <c r="D83" s="21" t="inlineStr">
        <is>
          <t>Question 82. Listen to the following announcement.
This is Kimberly Adams with your 8:00 A.M. Metro Transit update on WBLN Radio. Commuters heading into the downtown business district should expect severe delays on the westbound lanes of Interstate 80. An overturned commercial freight truck near Exit 14 has completely blocked two right lanes, resulting in a backup of over five miles. Transportation officials recommend using Route 22 as an alternate detour. Looking ahead, morning mist will clear by mid-afternoon, making way for sunny skies and a high of 72 degrees.
Question 82. What will the weather be like this afternoon?</t>
        </is>
      </c>
      <c r="E83" s="21" t="inlineStr">
        <is>
          <t>[Q82 문제 번역]
What will the weather be like this afternoon?</t>
        </is>
      </c>
      <c r="F83" s="21" t="inlineStr">
        <is>
          <t>[정답 분석] 'morning mist will clear by mid-afternoon, making way for sunny skies and a high of 72 degrees'에서 맑고 온화한 날씨가 될 것임을 알 수 있습니다.</t>
        </is>
      </c>
      <c r="G83" s="21" t="inlineStr">
        <is>
          <t>mist(안개); sunny skies(맑은 하늘)</t>
        </is>
      </c>
    </row>
    <row r="84">
      <c r="A84" s="17" t="inlineStr">
        <is>
          <t>Q83</t>
        </is>
      </c>
      <c r="B84" s="17" t="inlineStr">
        <is>
          <t>Part 4</t>
        </is>
      </c>
      <c r="C84" s="17" t="inlineStr">
        <is>
          <t>A</t>
        </is>
      </c>
      <c r="D84" s="18" t="inlineStr">
        <is>
          <t>Question 83. Listen to the following announcement.
Welcome back from the morning coffee break, ladies and gentlemen. It is my distinct honor to introduce our keynote speaker for this year's International Healthcare Informatics Conference, Dr. Sanjay Mehta. Dr. Mehta currently serves as the chief medical data scientist at BioTech Innovations in Zurich. With over twenty years of pioneering research in artificial intelligence diagnostics, he has published more than eighty peer-reviewed papers. Today, he will discuss how machine learning algorithms are revolutionizing early cardiovascular disease detection. Please join me in giving a warm welcome to Dr. Sanjay Mehta.
Question 83. Where is the speech taking place?</t>
        </is>
      </c>
      <c r="E84" s="18" t="inlineStr">
        <is>
          <t>[Q83 문제 번역]
Where is the speech taking place?</t>
        </is>
      </c>
      <c r="F84" s="18" t="inlineStr">
        <is>
          <t>[정답 분석] 'International Healthcare Informatics Conference'에서 의료 정보학 컨퍼런스임을 알 수 있습니다.</t>
        </is>
      </c>
      <c r="G84" s="18" t="inlineStr">
        <is>
          <t>informatics(정보학); keynote speaker(기조 연설자)</t>
        </is>
      </c>
    </row>
    <row r="85">
      <c r="A85" s="20" t="inlineStr">
        <is>
          <t>Q84</t>
        </is>
      </c>
      <c r="B85" s="20" t="inlineStr">
        <is>
          <t>Part 4</t>
        </is>
      </c>
      <c r="C85" s="20" t="inlineStr">
        <is>
          <t>B</t>
        </is>
      </c>
      <c r="D85" s="21" t="inlineStr">
        <is>
          <t>Question 84. Listen to the following announcement.
Welcome back from the morning coffee break, ladies and gentlemen. It is my distinct honor to introduce our keynote speaker for this year's International Healthcare Informatics Conference, Dr. Sanjay Mehta. Dr. Mehta currently serves as the chief medical data scientist at BioTech Innovations in Zurich. With over twenty years of pioneering research in artificial intelligence diagnostics, he has published more than eighty peer-reviewed papers. Today, he will discuss how machine learning algorithms are revolutionizing early cardiovascular disease detection. Please join me in giving a warm welcome to Dr. Sanjay Mehta.
Question 84. What is Dr. Mehta's area of expertise?</t>
        </is>
      </c>
      <c r="E85" s="21" t="inlineStr">
        <is>
          <t>[Q84 문제 번역]
What is Dr. Mehta's area of expertise?</t>
        </is>
      </c>
      <c r="F85" s="21" t="inlineStr">
        <is>
          <t>[정답 분석] 'pioneering research in artificial intelligence diagnostics'에서 인공지능 진단 분야 전문가임을 알 수 있습니다.</t>
        </is>
      </c>
      <c r="G85" s="21" t="inlineStr">
        <is>
          <t>diagnostics(진단학); peer-reviewed(동료 심사를 거친)</t>
        </is>
      </c>
    </row>
    <row r="86">
      <c r="A86" s="17" t="inlineStr">
        <is>
          <t>Q85</t>
        </is>
      </c>
      <c r="B86" s="17" t="inlineStr">
        <is>
          <t>Part 4</t>
        </is>
      </c>
      <c r="C86" s="17" t="inlineStr">
        <is>
          <t>B</t>
        </is>
      </c>
      <c r="D86" s="18" t="inlineStr">
        <is>
          <t>Question 85. Listen to the following announcement.
Welcome back from the morning coffee break, ladies and gentlemen. It is my distinct honor to introduce our keynote speaker for this year's International Healthcare Informatics Conference, Dr. Sanjay Mehta. Dr. Mehta currently serves as the chief medical data scientist at BioTech Innovations in Zurich. With over twenty years of pioneering research in artificial intelligence diagnostics, he has published more than eighty peer-reviewed papers. Today, he will discuss how machine learning algorithms are revolutionizing early cardiovascular disease detection. Please join me in giving a warm welcome to Dr. Sanjay Mehta.
Question 85. What is the topic of Dr. Mehta's presentation?</t>
        </is>
      </c>
      <c r="E86" s="18" t="inlineStr">
        <is>
          <t>[Q85 문제 번역]
What is the topic of Dr. Mehta's presentation?</t>
        </is>
      </c>
      <c r="F86" s="18" t="inlineStr">
        <is>
          <t>[정답 분석] 'how machine learning algorithms are revolutionizing early cardiovascular disease detection'이라고 강연 주제를 밝혔습니다.</t>
        </is>
      </c>
      <c r="G86" s="18" t="inlineStr">
        <is>
          <t>cardiovascular disease(심혈관 질환); algorithm(알고리즘)</t>
        </is>
      </c>
    </row>
    <row r="87">
      <c r="A87" s="20" t="inlineStr">
        <is>
          <t>Q86</t>
        </is>
      </c>
      <c r="B87" s="20" t="inlineStr">
        <is>
          <t>Part 4</t>
        </is>
      </c>
      <c r="C87" s="20" t="inlineStr">
        <is>
          <t>B</t>
        </is>
      </c>
      <c r="D87" s="21" t="inlineStr">
        <is>
          <t>Question 86. Listen to the following announcement.
Welcome to the Henderson Automated Assembly Facility. Before we begin our guided walkthrough of the production floor, plant regulations mandate that everyone put on safety glasses, high-visibility vests, and steel-toed boots available on the rack to your left. Because our robotic welders and automated transport carts are in active operation, you must stay strictly within the yellow-painted pedestrian walkways at all times. Photography and video recording inside the facility are strictly prohibited to safeguard proprietary manufacturing technologies. If anyone has questions during the tour, please signal me, and I will be happy to assist.
Question 86. Who is the intended audience for this talk?</t>
        </is>
      </c>
      <c r="E87" s="21" t="inlineStr">
        <is>
          <t>[Q86 문제 번역]
Who is the intended audience for this talk?</t>
        </is>
      </c>
      <c r="F87" s="21" t="inlineStr">
        <is>
          <t>[정답 분석] 공장 견학 투어(guided walkthrough of the production floor)를 앞두고 안전 수칙을 듣는 방문객들(tour visitors) 대상입니다.</t>
        </is>
      </c>
      <c r="G87" s="21" t="inlineStr">
        <is>
          <t>guided walkthrough(가이드 투어); production floor(생산 현장)</t>
        </is>
      </c>
    </row>
    <row r="88">
      <c r="A88" s="17" t="inlineStr">
        <is>
          <t>Q87</t>
        </is>
      </c>
      <c r="B88" s="17" t="inlineStr">
        <is>
          <t>Part 4</t>
        </is>
      </c>
      <c r="C88" s="17" t="inlineStr">
        <is>
          <t>C</t>
        </is>
      </c>
      <c r="D88" s="18" t="inlineStr">
        <is>
          <t>Question 87. Listen to the following announcement.
Welcome to the Henderson Automated Assembly Facility. Before we begin our guided walkthrough of the production floor, plant regulations mandate that everyone put on safety glasses, high-visibility vests, and steel-toed boots available on the rack to your left. Because our robotic welders and automated transport carts are in active operation, you must stay strictly within the yellow-painted pedestrian walkways at all times. Photography and video recording inside the facility are strictly prohibited to safeguard proprietary manufacturing technologies. If anyone has questions during the tour, please signal me, and I will be happy to assist.
Question 87. Where must visitors walk while on the factory floor?</t>
        </is>
      </c>
      <c r="E88" s="18" t="inlineStr">
        <is>
          <t>[Q87 문제 번역]
Where must visitors walk while on the factory floor?</t>
        </is>
      </c>
      <c r="F88" s="18" t="inlineStr">
        <is>
          <t>[정답 분석] 'stay strictly within the yellow-painted pedestrian walkways at all times'라고 지시했습니다.</t>
        </is>
      </c>
      <c r="G88" s="18" t="inlineStr">
        <is>
          <t>pedestrian walkway(보행자 통로); strictly prohibited(엄격히 금지된)</t>
        </is>
      </c>
    </row>
    <row r="89">
      <c r="A89" s="20" t="inlineStr">
        <is>
          <t>Q88</t>
        </is>
      </c>
      <c r="B89" s="20" t="inlineStr">
        <is>
          <t>Part 4</t>
        </is>
      </c>
      <c r="C89" s="20" t="inlineStr">
        <is>
          <t>B</t>
        </is>
      </c>
      <c r="D89" s="21" t="inlineStr">
        <is>
          <t>Question 88. Listen to the following announcement.
Welcome to the Henderson Automated Assembly Facility. Before we begin our guided walkthrough of the production floor, plant regulations mandate that everyone put on safety glasses, high-visibility vests, and steel-toed boots available on the rack to your left. Because our robotic welders and automated transport carts are in active operation, you must stay strictly within the yellow-painted pedestrian walkways at all times. Photography and video recording inside the facility are strictly prohibited to safeguard proprietary manufacturing technologies. If anyone has questions during the tour, please signal me, and I will be happy to assist.
Question 88. Why is photography forbidden?</t>
        </is>
      </c>
      <c r="E89" s="21" t="inlineStr">
        <is>
          <t>[Q88 문제 번역]
Why is photography forbidden?</t>
        </is>
      </c>
      <c r="F89" s="21" t="inlineStr">
        <is>
          <t>[정답 분석] 화자가 'to safeguard proprietary manufacturing technologies(독자적 제조 기술을 보호하기 위해)'라고 명확히 설명했습니다.</t>
        </is>
      </c>
      <c r="G89" s="21" t="inlineStr">
        <is>
          <t>safeguard(보호하다); proprietary technology(독자/독점 기술)</t>
        </is>
      </c>
    </row>
    <row r="90">
      <c r="A90" s="17" t="inlineStr">
        <is>
          <t>Q89</t>
        </is>
      </c>
      <c r="B90" s="17" t="inlineStr">
        <is>
          <t>Part 4</t>
        </is>
      </c>
      <c r="C90" s="17" t="inlineStr">
        <is>
          <t>B</t>
        </is>
      </c>
      <c r="D90" s="18" t="inlineStr">
        <is>
          <t>Question 89. Listen to the following announcement.
Good morning and welcome to the National Gallery of Modern Art. We are proud to present our newest special exhibition, 'Visions of the Metropolis: Urban Architecture in the 20th Century,' located in Galleries 4 and 5. This world-renowned collection showcases original blueprints, scale models, and rare oil paintings on loan from European private foundations. To enrich your viewing experience, digital audio tour headsets are available at the information desk for a nominal fee of $5. Please note that the museum cafeteria on the second level will close today at 3:00 P.M. for a private fundraising event.
Question 89. What is the title of the special exhibition?</t>
        </is>
      </c>
      <c r="E90" s="18" t="inlineStr">
        <is>
          <t>[Q89 문제 번역]
What is the title of the special exhibition?</t>
        </is>
      </c>
      <c r="F90" s="18" t="inlineStr">
        <is>
          <t>[정답 분석] 'Visions of the Metropolis: Urban Architecture in the 20th Century'라고 전시회 제목을 언급했습니다.</t>
        </is>
      </c>
      <c r="G90" s="18" t="inlineStr">
        <is>
          <t>metropolis(대도시); urban architecture(도시 건축)</t>
        </is>
      </c>
    </row>
    <row r="91">
      <c r="A91" s="20" t="inlineStr">
        <is>
          <t>Q90</t>
        </is>
      </c>
      <c r="B91" s="20" t="inlineStr">
        <is>
          <t>Part 4</t>
        </is>
      </c>
      <c r="C91" s="20" t="inlineStr">
        <is>
          <t>C</t>
        </is>
      </c>
      <c r="D91" s="21" t="inlineStr">
        <is>
          <t>Question 90. Listen to the following announcement.
Good morning and welcome to the National Gallery of Modern Art. We are proud to present our newest special exhibition, 'Visions of the Metropolis: Urban Architecture in the 20th Century,' located in Galleries 4 and 5. This world-renowned collection showcases original blueprints, scale models, and rare oil paintings on loan from European private foundations. To enrich your viewing experience, digital audio tour headsets are available at the information desk for a nominal fee of $5. Please note that the museum cafeteria on the second level will close today at 3:00 P.M. for a private fundraising event.
Question 90. How much does the audio tour headset cost?</t>
        </is>
      </c>
      <c r="E91" s="21" t="inlineStr">
        <is>
          <t>[Q90 문제 번역]
How much does the audio tour headset cost?</t>
        </is>
      </c>
      <c r="F91" s="21" t="inlineStr">
        <is>
          <t>[정답 분석] 화자가 'for a nominal fee of $5'라고 비용을 밝혔습니다.</t>
        </is>
      </c>
      <c r="G91" s="21" t="inlineStr">
        <is>
          <t>nominal fee(소정의 요금); headset(헤드셋)</t>
        </is>
      </c>
    </row>
    <row r="92">
      <c r="A92" s="17" t="inlineStr">
        <is>
          <t>Q91</t>
        </is>
      </c>
      <c r="B92" s="17" t="inlineStr">
        <is>
          <t>Part 4</t>
        </is>
      </c>
      <c r="C92" s="17" t="inlineStr">
        <is>
          <t>B</t>
        </is>
      </c>
      <c r="D92" s="18" t="inlineStr">
        <is>
          <t>Question 91. Listen to the following announcement.
Good morning and welcome to the National Gallery of Modern Art. We are proud to present our newest special exhibition, 'Visions of the Metropolis: Urban Architecture in the 20th Century,' located in Galleries 4 and 5. This world-renowned collection showcases original blueprints, scale models, and rare oil paintings on loan from European private foundations. To enrich your viewing experience, digital audio tour headsets are available at the information desk for a nominal fee of $5. Please note that the museum cafeteria on the second level will close today at 3:00 P.M. for a private fundraising event.
Question 91. Why will the cafeteria close early today?</t>
        </is>
      </c>
      <c r="E92" s="18" t="inlineStr">
        <is>
          <t>[Q91 문제 번역]
Why will the cafeteria close early today?</t>
        </is>
      </c>
      <c r="F92" s="18" t="inlineStr">
        <is>
          <t>[정답 분석] 'will close today at 3:00 P.M. for a private fundraising event'라고 조기 마감 이유를 밝혔습니다.</t>
        </is>
      </c>
      <c r="G92" s="18" t="inlineStr">
        <is>
          <t>fundraising event(모금 행사); private(비공개/사설)</t>
        </is>
      </c>
    </row>
    <row r="93">
      <c r="A93" s="20" t="inlineStr">
        <is>
          <t>Q92</t>
        </is>
      </c>
      <c r="B93" s="20" t="inlineStr">
        <is>
          <t>Part 4</t>
        </is>
      </c>
      <c r="C93" s="20" t="inlineStr">
        <is>
          <t>B</t>
        </is>
      </c>
      <c r="D93" s="21" t="inlineStr">
        <is>
          <t>Question 92. Listen to the following announcement.
May I have your attention please, passengers booked on Pacific Horizon Flight 408 with nonstop service to Vancouver. Due to late arrival of the inbound aircraft, our departure gate has been relocated from Gate B12 to Gate C28. Boarding will commence at approximately 4:45 P.M., starting with first-class passengers and active military personnel, followed by general boarding groups. If you require wheelchair assistance or are traveling with small children, please check in with our customer service agent at Gate C28 right away. We thank you for your patience and cooperation.
Question 92. What change is being announced?</t>
        </is>
      </c>
      <c r="E93" s="21" t="inlineStr">
        <is>
          <t>[Q92 문제 번역]
What change is being announced?</t>
        </is>
      </c>
      <c r="F93" s="21" t="inlineStr">
        <is>
          <t>[정답 분석] 화자가 'departure gate has been relocated from Gate B12 to Gate C28'라고 게이트 변경을 안내했습니다.</t>
        </is>
      </c>
      <c r="G93" s="21" t="inlineStr">
        <is>
          <t>relocate(이전/변경하다); departure gate(탑승구)</t>
        </is>
      </c>
    </row>
    <row r="94">
      <c r="A94" s="17" t="inlineStr">
        <is>
          <t>Q93</t>
        </is>
      </c>
      <c r="B94" s="17" t="inlineStr">
        <is>
          <t>Part 4</t>
        </is>
      </c>
      <c r="C94" s="17" t="inlineStr">
        <is>
          <t>C</t>
        </is>
      </c>
      <c r="D94" s="18" t="inlineStr">
        <is>
          <t>Question 93. Listen to the following announcement.
May I have your attention please, passengers booked on Pacific Horizon Flight 408 with nonstop service to Vancouver. Due to late arrival of the inbound aircraft, our departure gate has been relocated from Gate B12 to Gate C28. Boarding will commence at approximately 4:45 P.M., starting with first-class passengers and active military personnel, followed by general boarding groups. If you require wheelchair assistance or are traveling with small children, please check in with our customer service agent at Gate C28 right away. We thank you for your patience and cooperation.
Question 93. What is the flight's destination?</t>
        </is>
      </c>
      <c r="E94" s="18" t="inlineStr">
        <is>
          <t>[Q93 문제 번역]
What is the flight's destination?</t>
        </is>
      </c>
      <c r="F94" s="18" t="inlineStr">
        <is>
          <t>[정답 분석] 'Pacific Horizon Flight 408 with nonstop service to Vancouver'에서 목적지가 밴쿠버임을 알 수 있습니다.</t>
        </is>
      </c>
      <c r="G94" s="18" t="inlineStr">
        <is>
          <t>nonstop service(직항편); destination(목적지)</t>
        </is>
      </c>
    </row>
    <row r="95">
      <c r="A95" s="20" t="inlineStr">
        <is>
          <t>Q94</t>
        </is>
      </c>
      <c r="B95" s="20" t="inlineStr">
        <is>
          <t>Part 4</t>
        </is>
      </c>
      <c r="C95" s="20" t="inlineStr">
        <is>
          <t>A</t>
        </is>
      </c>
      <c r="D95" s="21" t="inlineStr">
        <is>
          <t>Question 94. Listen to the following announcement.
May I have your attention please, passengers booked on Pacific Horizon Flight 408 with nonstop service to Vancouver. Due to late arrival of the inbound aircraft, our departure gate has been relocated from Gate B12 to Gate C28. Boarding will commence at approximately 4:45 P.M., starting with first-class passengers and active military personnel, followed by general boarding groups. If you require wheelchair assistance or are traveling with small children, please check in with our customer service agent at Gate C28 right away. We thank you for your patience and cooperation.
Question 94. Who is asked to report to Gate C28 immediately?</t>
        </is>
      </c>
      <c r="E95" s="21" t="inlineStr">
        <is>
          <t>[Q94 문제 번역]
Who is asked to report to Gate C28 immediately?</t>
        </is>
      </c>
      <c r="F95" s="21" t="inlineStr">
        <is>
          <t>[정답 분석] 'If you require wheelchair assistance... please check in with our customer service agent at Gate C28 right away'라고 안내했습니다.</t>
        </is>
      </c>
      <c r="G95" s="21" t="inlineStr">
        <is>
          <t>wheelchair assistance(휠체어 지원); board(탑승하다)</t>
        </is>
      </c>
    </row>
    <row r="96">
      <c r="A96" s="17" t="inlineStr">
        <is>
          <t>Q95</t>
        </is>
      </c>
      <c r="B96" s="17" t="inlineStr">
        <is>
          <t>Part 4</t>
        </is>
      </c>
      <c r="C96" s="17" t="inlineStr">
        <is>
          <t>B</t>
        </is>
      </c>
      <c r="D96" s="18" t="inlineStr">
        <is>
          <t>Question 95. Listen to the following announcement.
Are you ready to transform your daily health and boost your energy? Introducing Pulse Fitness &amp; Wellness Center, conveniently located in the heart of downtown Maplewood. Our state-of-the-art facility features Olympic-grade strength training machines, an indoor heated saltwater swimming pool, and over forty weekly group classes taught by certified trainers. Sign up for a 12-month membership before the end of this month, and we will completely waive your $75 registration fee, plus gift you a complimentary one-on-one nutrition consultation. Visit PulseFitness.com today to claim your free three-day trial guest pass!
Question 95. What business is being advertised?</t>
        </is>
      </c>
      <c r="E96" s="18" t="inlineStr">
        <is>
          <t>[Q95 문제 번역]
What business is being advertised?</t>
        </is>
      </c>
      <c r="F96" s="18" t="inlineStr">
        <is>
          <t>[정답 분석] 'Pulse Fitness &amp; Wellness Center'라는 헬스 및 웰빙 센터 광고입니다.</t>
        </is>
      </c>
      <c r="G96" s="18" t="inlineStr">
        <is>
          <t>wellness center(웰빙/피트니스 센터); state-of-the-art(최첨단)</t>
        </is>
      </c>
    </row>
    <row r="97">
      <c r="A97" s="20" t="inlineStr">
        <is>
          <t>Q96</t>
        </is>
      </c>
      <c r="B97" s="20" t="inlineStr">
        <is>
          <t>Part 4</t>
        </is>
      </c>
      <c r="C97" s="20" t="inlineStr">
        <is>
          <t>B</t>
        </is>
      </c>
      <c r="D97" s="21" t="inlineStr">
        <is>
          <t>Question 96. Listen to the following announcement.
Are you ready to transform your daily health and boost your energy? Introducing Pulse Fitness &amp; Wellness Center, conveniently located in the heart of downtown Maplewood. Our state-of-the-art facility features Olympic-grade strength training machines, an indoor heated saltwater swimming pool, and over forty weekly group classes taught by certified trainers. Sign up for a 12-month membership before the end of this month, and we will completely waive your $75 registration fee, plus gift you a complimentary one-on-one nutrition consultation. Visit PulseFitness.com today to claim your free three-day trial guest pass!
Question 96. What special promotion is offered for new 12-month memberships?</t>
        </is>
      </c>
      <c r="E97" s="21" t="inlineStr">
        <is>
          <t>[Q96 문제 번역]
What special promotion is offered for new 12-month memberships?</t>
        </is>
      </c>
      <c r="F97" s="21" t="inlineStr">
        <is>
          <t>[정답 분석] 'waive your $75 registration fee, plus gift you a complimentary one-on-one nutrition consultation'을 프로모션 혜택으로 제시했습니다.</t>
        </is>
      </c>
      <c r="G97" s="21" t="inlineStr">
        <is>
          <t>waive(면제하다); registration fee(등록비); nutrition consultation(영양 상담)</t>
        </is>
      </c>
    </row>
    <row r="98">
      <c r="A98" s="17" t="inlineStr">
        <is>
          <t>Q97</t>
        </is>
      </c>
      <c r="B98" s="17" t="inlineStr">
        <is>
          <t>Part 4</t>
        </is>
      </c>
      <c r="C98" s="17" t="inlineStr">
        <is>
          <t>A</t>
        </is>
      </c>
      <c r="D98" s="18" t="inlineStr">
        <is>
          <t>Question 97. Listen to the following announcement.
Are you ready to transform your daily health and boost your energy? Introducing Pulse Fitness &amp; Wellness Center, conveniently located in the heart of downtown Maplewood. Our state-of-the-art facility features Olympic-grade strength training machines, an indoor heated saltwater swimming pool, and over forty weekly group classes taught by certified trainers. Sign up for a 12-month membership before the end of this month, and we will completely waive your $75 registration fee, plus gift you a complimentary one-on-one nutrition consultation. Visit PulseFitness.com today to claim your free three-day trial guest pass!
Question 97. How can listeners obtain a three-day trial pass?</t>
        </is>
      </c>
      <c r="E98" s="18" t="inlineStr">
        <is>
          <t>[Q97 문제 번역]
How can listeners obtain a three-day trial pass?</t>
        </is>
      </c>
      <c r="F98" s="18" t="inlineStr">
        <is>
          <t>[정답 분석] 화자가 'Visit PulseFitness.com today to claim your free three-day trial guest pass!'라고 유도했습니다.</t>
        </is>
      </c>
      <c r="G98" s="18" t="inlineStr">
        <is>
          <t>claim(신청하다, 수령하다); trial guest pass(체험권)</t>
        </is>
      </c>
    </row>
    <row r="99">
      <c r="A99" s="20" t="inlineStr">
        <is>
          <t>Q98</t>
        </is>
      </c>
      <c r="B99" s="20" t="inlineStr">
        <is>
          <t>Part 4</t>
        </is>
      </c>
      <c r="C99" s="20" t="inlineStr">
        <is>
          <t>B</t>
        </is>
      </c>
      <c r="D99" s="21" t="inlineStr">
        <is>
          <t>Question 98. Listen to the following announcement.
Good evening, shoppers. It is now 9:45 P.M., and Henderson Home Furnishings will be closing in fifteen minutes. Please bring all your final selections to the cash registers at the front of the store. If you are ordering custom furniture or require home delivery arrangements, please visit our customer care desk near the south exit before 9:55 P.M. Our store will reopen tomorrow morning at 9:00 A.M. with our annual semi-annual clearance sale. On behalf of the entire Henderson family, we thank you for shopping with us and wish you a pleasant evening.
Question 98. What type of store is the speaker announcing for?</t>
        </is>
      </c>
      <c r="E99" s="21" t="inlineStr">
        <is>
          <t>[Q98 문제 번역]
What type of store is the speaker announcing for?</t>
        </is>
      </c>
      <c r="F99" s="21" t="inlineStr">
        <is>
          <t>[정답 분석] 화자가 'Henderson Home Furnishings will be closing in fifteen minutes'라고 상점명을 밝혔습니다.</t>
        </is>
      </c>
      <c r="G99" s="21" t="inlineStr">
        <is>
          <t>home furnishings(홈 인테리어/가구); cash register(계산대)</t>
        </is>
      </c>
    </row>
    <row r="100">
      <c r="A100" s="17" t="inlineStr">
        <is>
          <t>Q99</t>
        </is>
      </c>
      <c r="B100" s="17" t="inlineStr">
        <is>
          <t>Part 4</t>
        </is>
      </c>
      <c r="C100" s="17" t="inlineStr">
        <is>
          <t>B</t>
        </is>
      </c>
      <c r="D100" s="18" t="inlineStr">
        <is>
          <t>Question 99. Listen to the following announcement.
Good evening, shoppers. It is now 9:45 P.M., and Henderson Home Furnishings will be closing in fifteen minutes. Please bring all your final selections to the cash registers at the front of the store. If you are ordering custom furniture or require home delivery arrangements, please visit our customer care desk near the south exit before 9:55 P.M. Our store will reopen tomorrow morning at 9:00 A.M. with our annual semi-annual clearance sale. On behalf of the entire Henderson family, we thank you for shopping with us and wish you a pleasant evening.
Question 99. Where should customers go to arrange home delivery?</t>
        </is>
      </c>
      <c r="E100" s="18" t="inlineStr">
        <is>
          <t>[Q99 문제 번역]
Where should customers go to arrange home delivery?</t>
        </is>
      </c>
      <c r="F100" s="18" t="inlineStr">
        <is>
          <t>[정답 분석] 'visit our customer care desk near the south exit'에서 남쪽 출구 근처 고객 센터로 가야 함을 알 수 있습니다.</t>
        </is>
      </c>
      <c r="G100" s="18" t="inlineStr">
        <is>
          <t>customer care desk(고객 지원 데스크); home delivery(가정 배송)</t>
        </is>
      </c>
    </row>
    <row r="101">
      <c r="A101" s="20" t="inlineStr">
        <is>
          <t>Q100</t>
        </is>
      </c>
      <c r="B101" s="20" t="inlineStr">
        <is>
          <t>Part 4</t>
        </is>
      </c>
      <c r="C101" s="20" t="inlineStr">
        <is>
          <t>B</t>
        </is>
      </c>
      <c r="D101" s="21" t="inlineStr">
        <is>
          <t>Question 100. Listen to the following announcement.
Good evening, shoppers. It is now 9:45 P.M., and Henderson Home Furnishings will be closing in fifteen minutes. Please bring all your final selections to the cash registers at the front of the store. If you are ordering custom furniture or require home delivery arrangements, please visit our customer care desk near the south exit before 9:55 P.M. Our store will reopen tomorrow morning at 9:00 A.M. with our annual semi-annual clearance sale. On behalf of the entire Henderson family, we thank you for shopping with us and wish you a pleasant evening.
Question 100. What will take place tomorrow at 9:00 A.M.?</t>
        </is>
      </c>
      <c r="E101" s="21" t="inlineStr">
        <is>
          <t>[Q100 문제 번역]
What will take place tomorrow at 9:00 A.M.?</t>
        </is>
      </c>
      <c r="F101" s="21" t="inlineStr">
        <is>
          <t>[정답 분석] 'Our store will reopen tomorrow morning at 9:00 A.M. with our annual semi-annual clearance sale'라고 밝혔습니다.</t>
        </is>
      </c>
      <c r="G101" s="21" t="inlineStr">
        <is>
          <t>semi-annual clearance sale(상/하반기 재고정리 할인 행사); reopen(재개장하다)</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45" customWidth="1" min="4" max="4"/>
    <col width="45" customWidth="1" min="5" max="5"/>
    <col width="35" customWidth="1" min="6" max="6"/>
    <col width="35" customWidth="1" min="7" max="7"/>
  </cols>
  <sheetData>
    <row r="1" ht="32" customHeight="1">
      <c r="A1" s="15" t="inlineStr">
        <is>
          <t>문항 번호</t>
        </is>
      </c>
      <c r="B1" s="15" t="inlineStr">
        <is>
          <t>파트 구분</t>
        </is>
      </c>
      <c r="C1" s="15" t="inlineStr">
        <is>
          <t>정답</t>
        </is>
      </c>
      <c r="D1" s="15" t="inlineStr">
        <is>
          <t>본문 지문 해석 / 직독직해</t>
        </is>
      </c>
      <c r="E1" s="15" t="inlineStr">
        <is>
          <t>정답 도출 공식 및 문법 분석</t>
        </is>
      </c>
      <c r="F1" s="15" t="inlineStr">
        <is>
          <t>오답 함정 피하기 팁</t>
        </is>
      </c>
      <c r="G1" s="15" t="inlineStr">
        <is>
          <t>필수 어휘 및 패러프레이징 족보</t>
        </is>
      </c>
    </row>
    <row r="2" ht="60" customHeight="1">
      <c r="A2" s="17" t="inlineStr">
        <is>
          <t>Q101</t>
        </is>
      </c>
      <c r="B2" s="17" t="inlineStr">
        <is>
          <t>Part 5</t>
        </is>
      </c>
      <c r="C2" s="17" t="inlineStr">
        <is>
          <t>B</t>
        </is>
      </c>
      <c r="D2" s="18" t="inlineStr">
        <is>
          <t>[지문/문장 분석]
N/A</t>
        </is>
      </c>
      <c r="E2" s="18" t="inlineStr">
        <is>
          <t>[1초 공식: S + V + O + 부사 자리]
타동사구 review the statement 뒤에서 동사 review를 수식하는 성분은 부사(-ly) 자리입니다. 따라서 부사 (B) thoroughly가 정답입니다.</t>
        </is>
      </c>
      <c r="F2" s="18" t="inlineStr">
        <is>
          <t>[정답 도출 팁] 정답 (B)번 근거 및 오답 소거 확인</t>
        </is>
      </c>
      <c r="G2" s="18" t="inlineStr">
        <is>
          <t>supervisor(관리자); revised(수정된); thoroughly(철저하게, 빈틈없이); executive board(이사회)</t>
        </is>
      </c>
    </row>
    <row r="3" ht="60" customHeight="1">
      <c r="A3" s="20" t="inlineStr">
        <is>
          <t>Q102</t>
        </is>
      </c>
      <c r="B3" s="20" t="inlineStr">
        <is>
          <t>Part 5</t>
        </is>
      </c>
      <c r="C3" s="20" t="inlineStr">
        <is>
          <t>A</t>
        </is>
      </c>
      <c r="D3" s="21" t="inlineStr">
        <is>
          <t>[지문/문장 분석]
N/A</t>
        </is>
      </c>
      <c r="E3" s="21" t="inlineStr">
        <is>
          <t>[1초 공식: 전치사 vs 접속사 구별]
콤마(,) 앞이 동사가 없는 명사구(the unprecedented rise...)이므로 전치사 자리입니다. 문맥상 운임 상승에도 불구하고 수익이 늘었다는 양보 관계이므로 전치사 (A) Despite가 정답입니다.</t>
        </is>
      </c>
      <c r="F3" s="21" t="inlineStr">
        <is>
          <t>[정답 도출 팁] 정답 (A)번 근거 및 오답 소거 확인</t>
        </is>
      </c>
      <c r="G3" s="21" t="inlineStr">
        <is>
          <t>unprecedented(전례 없는); shipping fee(운송료); manage to do(가까스로 해내다); quarterly revenue(분기 매출)</t>
        </is>
      </c>
    </row>
    <row r="4" ht="60" customHeight="1">
      <c r="A4" s="17" t="inlineStr">
        <is>
          <t>Q103</t>
        </is>
      </c>
      <c r="B4" s="17" t="inlineStr">
        <is>
          <t>Part 5</t>
        </is>
      </c>
      <c r="C4" s="17" t="inlineStr">
        <is>
          <t>A</t>
        </is>
      </c>
      <c r="D4" s="18" t="inlineStr">
        <is>
          <t>[지문/문장 분석]
N/A</t>
        </is>
      </c>
      <c r="E4" s="18" t="inlineStr">
        <is>
          <t>[1초 공식: 자동사 + 전치사 연어 족보]
빈칸 뒤 전치사 'with'와 결합하여 '~을 준수하다'를 나타내는 동사는 comply입니다. (comply with = adhere to = observe).
[오답 소거] adhere는 to와 결합, observe/fulfill은 타동사이므로 with 불가!</t>
        </is>
      </c>
      <c r="F4" s="18" t="inlineStr">
        <is>
          <t>[정답 도출 팁] 정답 (A)번 근거 및 오답 소거 확인</t>
        </is>
      </c>
      <c r="G4" s="18" t="inlineStr">
        <is>
          <t>mandated(의무화된); comply with(~을 준수하다); adhere to(~을 지키다); safety regulations(안전 수칙)</t>
        </is>
      </c>
    </row>
    <row r="5" ht="60" customHeight="1">
      <c r="A5" s="20" t="inlineStr">
        <is>
          <t>Q104</t>
        </is>
      </c>
      <c r="B5" s="20" t="inlineStr">
        <is>
          <t>Part 5</t>
        </is>
      </c>
      <c r="C5" s="20" t="inlineStr">
        <is>
          <t>A</t>
        </is>
      </c>
      <c r="D5" s="21" t="inlineStr">
        <is>
          <t>[지문/문장 분석]
N/A</t>
        </is>
      </c>
      <c r="E5" s="21" t="inlineStr">
        <is>
          <t>[1초 공식: 주어 핵 찾기 + 수일치]
문장의 진짜 주어는 단수명사 'The newly published handbook'입니다. 따라서 3인칭 단수 현재동사인 (A) contains가 정답입니다. 뒤에 목적어(extensive guidelines)가 있으므로 수동태 (D)는 불가합니다.</t>
        </is>
      </c>
      <c r="F5" s="21" t="inlineStr">
        <is>
          <t>[정답 도출 팁] 정답 (A)번 근거 및 오답 소거 확인</t>
        </is>
      </c>
      <c r="G5" s="21" t="inlineStr">
        <is>
          <t>handbook(안내서, 지침서); extensive(광범위한); guidelines(지침); overseas taxation(해외 조세)</t>
        </is>
      </c>
    </row>
    <row r="6" ht="60" customHeight="1">
      <c r="A6" s="17" t="inlineStr">
        <is>
          <t>Q105</t>
        </is>
      </c>
      <c r="B6" s="17" t="inlineStr">
        <is>
          <t>Part 5</t>
        </is>
      </c>
      <c r="C6" s="17" t="inlineStr">
        <is>
          <t>A</t>
        </is>
      </c>
      <c r="D6" s="18" t="inlineStr">
        <is>
          <t>[지문/문장 분석]
N/A</t>
        </is>
      </c>
      <c r="E6" s="18" t="inlineStr">
        <is>
          <t>[1초 공식: 타동사 + [형용사] + 목적어 명사]
타동사 demonstrated와 목적어 명사 leadership 사이에서 명사를 수식하는 품사는 형용사입니다. 따라서 (A) exceptional(뛰어난, 탁월한)이 정답입니다.</t>
        </is>
      </c>
      <c r="F6" s="18" t="inlineStr">
        <is>
          <t>[정답 도출 팁] 정답 (A)번 근거 및 오답 소거 확인</t>
        </is>
      </c>
      <c r="G6" s="18" t="inlineStr">
        <is>
          <t>demonstrate(보여주다, 발휘하다); exceptional leadership(뛰어난 리더십); operational restructuring(구조조정)</t>
        </is>
      </c>
    </row>
    <row r="7" ht="60" customHeight="1">
      <c r="A7" s="20" t="inlineStr">
        <is>
          <t>Q106</t>
        </is>
      </c>
      <c r="B7" s="20" t="inlineStr">
        <is>
          <t>Part 5</t>
        </is>
      </c>
      <c r="C7" s="20" t="inlineStr">
        <is>
          <t>A</t>
        </is>
      </c>
      <c r="D7" s="21" t="inlineStr">
        <is>
          <t>[지문/문장 분석]
N/A</t>
        </is>
      </c>
      <c r="E7" s="21" t="inlineStr">
        <is>
          <t>[1초 공식: whether A or B 짝꿍 공식]
타동사 decided의 목적어 절을 이끌면서 절 뒤의 상관접속사 'or'와 호응하는 명사절 접속사는 'whether A or B(~인지 아닌지)'를 이끄는 (A) whether입니다.</t>
        </is>
      </c>
      <c r="F7" s="21" t="inlineStr">
        <is>
          <t>[정답 도출 팁] 정답 (A)번 근거 및 오답 소거 확인</t>
        </is>
      </c>
      <c r="G7" s="21" t="inlineStr">
        <is>
          <t>senior project director(수석 책임자); whether A or B(A인지 B인지); symposium(심포지엄, 학술회의); host(개최하다)</t>
        </is>
      </c>
    </row>
    <row r="8" ht="60" customHeight="1">
      <c r="A8" s="17" t="inlineStr">
        <is>
          <t>Q107</t>
        </is>
      </c>
      <c r="B8" s="17" t="inlineStr">
        <is>
          <t>Part 5</t>
        </is>
      </c>
      <c r="C8" s="17" t="inlineStr">
        <is>
          <t>A</t>
        </is>
      </c>
      <c r="D8" s="18" t="inlineStr">
        <is>
          <t>[지문/문장 분석]
N/A</t>
        </is>
      </c>
      <c r="E8" s="18" t="inlineStr">
        <is>
          <t>[1초 공식: 완전한 문장 뒤 주어 강조 재귀대명사]
'the CEO attended the trade gala'로 문장 필수 성분이 모두 갖추어져 있으므로, 주어인 the CEO를 직접 '스스로, 직접' 강조하는 재귀대명사 (A) himself가 정답입니다.</t>
        </is>
      </c>
      <c r="F8" s="18" t="inlineStr">
        <is>
          <t>[정답 도출 팁] 정답 (A)번 근거 및 오답 소거 확인</t>
        </is>
      </c>
      <c r="G8" s="18" t="inlineStr">
        <is>
          <t>unavailable(시간이 안 되는); international trade gala(국제 무역 갈라쇼); accept the award(상을 수상하다); himself(직접)</t>
        </is>
      </c>
    </row>
    <row r="9" ht="60" customHeight="1">
      <c r="A9" s="20" t="inlineStr">
        <is>
          <t>Q108</t>
        </is>
      </c>
      <c r="B9" s="20" t="inlineStr">
        <is>
          <t>Part 5</t>
        </is>
      </c>
      <c r="C9" s="20" t="inlineStr">
        <is>
          <t>A</t>
        </is>
      </c>
      <c r="D9" s="21" t="inlineStr">
        <is>
          <t>[지문/문장 분석]
N/A</t>
        </is>
      </c>
      <c r="E9" s="21" t="inlineStr">
        <is>
          <t>[문맥 어휘 판별]
선로 보수 작업 때문에 열차가 덜 자주(less frequently) 운행한다는 문맥이 가장 자연스럽습니다. 따라서 (A) frequently가 정답입니다.</t>
        </is>
      </c>
      <c r="F9" s="21" t="inlineStr">
        <is>
          <t>[정답 도출 팁] 정답 (A)번 근거 및 오답 소거 확인</t>
        </is>
      </c>
      <c r="G9" s="21" t="inlineStr">
        <is>
          <t>scheduled track maintenance(예정된 선로 보수); passenger train(여객 열차); run frequently(자주 운행하다); hardly(거의 ~않다)</t>
        </is>
      </c>
    </row>
    <row r="10" ht="60" customHeight="1">
      <c r="A10" s="17" t="inlineStr">
        <is>
          <t>Q109</t>
        </is>
      </c>
      <c r="B10" s="17" t="inlineStr">
        <is>
          <t>Part 5</t>
        </is>
      </c>
      <c r="C10" s="17" t="inlineStr">
        <is>
          <t>A</t>
        </is>
      </c>
      <c r="D10" s="18" t="inlineStr">
        <is>
          <t>[지문/문장 분석]
N/A</t>
        </is>
      </c>
      <c r="E10" s="18" t="inlineStr">
        <is>
          <t>[1초 공식: 명사를 수식하는 분사 형용사]
견적서(estimate)는 사람에 의해 '수정되는' 수동의 대상이므로 과거분사 (A) revised가 명사 estimate를 수식하는 정답입니다.</t>
        </is>
      </c>
      <c r="F10" s="18" t="inlineStr">
        <is>
          <t>[정답 도출 팁] 정답 (A)번 근거 및 오답 소거 확인</t>
        </is>
      </c>
      <c r="G10" s="18" t="inlineStr">
        <is>
          <t>enclosed(동봉된); revised estimate(수정된 견적서); proposed project(제안된 프로젝트); renovation(개보수)</t>
        </is>
      </c>
    </row>
    <row r="11" ht="60" customHeight="1">
      <c r="A11" s="20" t="inlineStr">
        <is>
          <t>Q110</t>
        </is>
      </c>
      <c r="B11" s="20" t="inlineStr">
        <is>
          <t>Part 5</t>
        </is>
      </c>
      <c r="C11" s="20" t="inlineStr">
        <is>
          <t>A</t>
        </is>
      </c>
      <c r="D11" s="21" t="inlineStr">
        <is>
          <t>[지문/문장 분석]
N/A</t>
        </is>
      </c>
      <c r="E11" s="21" t="inlineStr">
        <is>
          <t>[토익 850+ 킬러 도치 공식]
조건절 'If you should encounter...'에서 If가 생략되면 조동사 Should가 문두로 도치됩니다! 뒤에 주어 you + 동사원형 encounter가 오고 주절이 명령문(please contact...)인 대표 킬러 문제입니다.</t>
        </is>
      </c>
      <c r="F11" s="21" t="inlineStr">
        <is>
          <t>[정답 도출 팁] 정답 (A)번 근거 및 오답 소거 확인</t>
        </is>
      </c>
      <c r="G11" s="21" t="inlineStr">
        <is>
          <t>Should + S + 동사원형(If 생략 조건 도치); encounter difficulties(어려움에 직면하다); technical support(기술 지원)</t>
        </is>
      </c>
    </row>
    <row r="12" ht="60" customHeight="1">
      <c r="A12" s="17" t="inlineStr">
        <is>
          <t>Q111</t>
        </is>
      </c>
      <c r="B12" s="17" t="inlineStr">
        <is>
          <t>Part 5</t>
        </is>
      </c>
      <c r="C12" s="17" t="inlineStr">
        <is>
          <t>A</t>
        </is>
      </c>
      <c r="D12" s="18" t="inlineStr">
        <is>
          <t>[지문/문장 분석]
N/A</t>
        </is>
      </c>
      <c r="E12" s="18" t="inlineStr">
        <is>
          <t>[1초 공식: 관사(a) + [형용사] + 명사(team)]
명사 team을 앞에서 수식하며 '헌신적인/전담의' 의미를 갖는 형용사 역할의 과거분사는 (A) dedicated입니다.</t>
        </is>
      </c>
      <c r="F12" s="18" t="inlineStr">
        <is>
          <t>[정답 도출 팁] 정답 (A)번 근거 및 오답 소거 확인</t>
        </is>
      </c>
      <c r="G12" s="18" t="inlineStr">
        <is>
          <t>dedicated team(전담팀/헌신적인 팀); optimize(최적화하다); supply chain logistics(공급망 물류)</t>
        </is>
      </c>
    </row>
    <row r="13" ht="60" customHeight="1">
      <c r="A13" s="20" t="inlineStr">
        <is>
          <t>Q112</t>
        </is>
      </c>
      <c r="B13" s="20" t="inlineStr">
        <is>
          <t>Part 5</t>
        </is>
      </c>
      <c r="C13" s="20" t="inlineStr">
        <is>
          <t>A</t>
        </is>
      </c>
      <c r="D13" s="21" t="inlineStr">
        <is>
          <t>[지문/문장 분석]
N/A</t>
        </is>
      </c>
      <c r="E13" s="21" t="inlineStr">
        <is>
          <t>[1초 공식: In order to + 동사원형]
빈칸 뒤에 동사원형(promote)이 위치하므로 목적을 나타내는 to부정사구인 (A) In order to(~하기 위하여)가 정답입니다. 나머지는 모두 전치사(구)이므로 뒤에 명사(구)가 와야 합니다.</t>
        </is>
      </c>
      <c r="F13" s="21" t="inlineStr">
        <is>
          <t>[정답 도출 팁] 정답 (A)번 근거 및 오답 소거 확인</t>
        </is>
      </c>
      <c r="G13" s="21" t="inlineStr">
        <is>
          <t>in order to do(~하기 위해); eco-friendly(친환경적인); launch a campaign(캠페인을 시작하다)</t>
        </is>
      </c>
    </row>
    <row r="14" ht="60" customHeight="1">
      <c r="A14" s="17" t="inlineStr">
        <is>
          <t>Q113</t>
        </is>
      </c>
      <c r="B14" s="17" t="inlineStr">
        <is>
          <t>Part 5</t>
        </is>
      </c>
      <c r="C14" s="17" t="inlineStr">
        <is>
          <t>A</t>
        </is>
      </c>
      <c r="D14" s="18" t="inlineStr">
        <is>
          <t>[지문/문장 분석]
N/A</t>
        </is>
      </c>
      <c r="E14" s="18" t="inlineStr">
        <is>
          <t>[1초 공식: 자동사 + [부사] + 전치사구]
동사 respond(응답하다)를 뒤에서 수식하는 품사는 부사 자리이므로 (A) promptly(신속하게)가 정답입니다.</t>
        </is>
      </c>
      <c r="F14" s="18" t="inlineStr">
        <is>
          <t>[정답 도출 팁] 정답 (A)번 근거 및 오답 소거 확인</t>
        </is>
      </c>
      <c r="G14" s="18" t="inlineStr">
        <is>
          <t>representative(상담원/대표자); respond promptly(신속하게 응답하다); inquiries(문의사항)</t>
        </is>
      </c>
    </row>
    <row r="15" ht="60" customHeight="1">
      <c r="A15" s="20" t="inlineStr">
        <is>
          <t>Q114</t>
        </is>
      </c>
      <c r="B15" s="20" t="inlineStr">
        <is>
          <t>Part 5</t>
        </is>
      </c>
      <c r="C15" s="20" t="inlineStr">
        <is>
          <t>A</t>
        </is>
      </c>
      <c r="D15" s="21" t="inlineStr">
        <is>
          <t>[지문/문장 분석]
N/A</t>
        </is>
      </c>
      <c r="E15" s="21" t="inlineStr">
        <is>
          <t>[1초 공식: conduct an inspection (점검을 실시하다)]
목적어 'a thorough inspection(철저한 점검)'과 어울려 '실시하다/진행하다'를 나타내는 타동사는 (A) conduct입니다. (arrive, proceed, rely는 자동사).</t>
        </is>
      </c>
      <c r="F15" s="21" t="inlineStr">
        <is>
          <t>[정답 도출 팁] 정답 (A)번 근거 및 오답 소거 확인</t>
        </is>
      </c>
      <c r="G15" s="21" t="inlineStr">
        <is>
          <t>auditor(감사인); conduct an inspection(점검을 실시하다); chemical processing unit(화학 공정 시설)</t>
        </is>
      </c>
    </row>
    <row r="16" ht="60" customHeight="1">
      <c r="A16" s="17" t="inlineStr">
        <is>
          <t>Q115</t>
        </is>
      </c>
      <c r="B16" s="17" t="inlineStr">
        <is>
          <t>Part 5</t>
        </is>
      </c>
      <c r="C16" s="17" t="inlineStr">
        <is>
          <t>A</t>
        </is>
      </c>
      <c r="D16" s="18" t="inlineStr">
        <is>
          <t>[지문/문장 분석]
N/A</t>
        </is>
      </c>
      <c r="E16" s="18" t="inlineStr">
        <is>
          <t>[1초 공식: neither A nor B 짝꿍 공식]
뒤의 등위접속사 'nor'와 짝을 이루어 'A도 B도 아닌' 양자 부정을 나타내는 상관접속사는 (A) neither입니다.</t>
        </is>
      </c>
      <c r="F16" s="18" t="inlineStr">
        <is>
          <t>[정답 도출 팁] 정답 (A)번 근거 및 오답 소거 확인</t>
        </is>
      </c>
      <c r="G16" s="18" t="inlineStr">
        <is>
          <t>inclement weather(악천후); neither A nor B(A도 B도 아닌); operate as scheduled(예정대로 운항하다)</t>
        </is>
      </c>
    </row>
    <row r="17" ht="60" customHeight="1">
      <c r="A17" s="20" t="inlineStr">
        <is>
          <t>Q116</t>
        </is>
      </c>
      <c r="B17" s="20" t="inlineStr">
        <is>
          <t>Part 5</t>
        </is>
      </c>
      <c r="C17" s="20" t="inlineStr">
        <is>
          <t>A</t>
        </is>
      </c>
      <c r="D17" s="21" t="inlineStr">
        <is>
          <t>[지문/문장 분석]
N/A</t>
        </is>
      </c>
      <c r="E17" s="21" t="inlineStr">
        <is>
          <t>[1초 공식: 주어 역할을 하는 복합관계대명사]
문장의 주어 자리이면서 뒤의 단수동사 wishes를 이끄는 주격 복합관계대명사는 (A) Whoever(= Anyone who)가 정답입니다.</t>
        </is>
      </c>
      <c r="F17" s="21" t="inlineStr">
        <is>
          <t>[정답 도출 팁] 정답 (A)번 근거 및 오답 소거 확인</t>
        </is>
      </c>
      <c r="G17" s="21" t="inlineStr">
        <is>
          <t>whoever(누구든지); participate in(~에 참가하다); statement of interest(참가 신청서/관심 표명서)</t>
        </is>
      </c>
    </row>
    <row r="18" ht="60" customHeight="1">
      <c r="A18" s="17" t="inlineStr">
        <is>
          <t>Q117</t>
        </is>
      </c>
      <c r="B18" s="17" t="inlineStr">
        <is>
          <t>Part 5</t>
        </is>
      </c>
      <c r="C18" s="17" t="inlineStr">
        <is>
          <t>A</t>
        </is>
      </c>
      <c r="D18" s="18" t="inlineStr">
        <is>
          <t>[지문/문장 분석]
N/A</t>
        </is>
      </c>
      <c r="E18" s="18" t="inlineStr">
        <is>
          <t>[1초 공식: be동사 + [부사] + 형용사(successful)]
보어 역할을 하는 형용사 successful을 수식하는 품사는 부사 자리이므로 (A) remarkably(두드러지게, 매우)가 정답입니다.</t>
        </is>
      </c>
      <c r="F18" s="18" t="inlineStr">
        <is>
          <t>[정답 도출 팁] 정답 (A)번 근거 및 오답 소거 확인</t>
        </is>
      </c>
      <c r="G18" s="18" t="inlineStr">
        <is>
          <t>remarkably successful(괄목할 만큼 성공적인); generate downloads(다운로드를 창출하다)</t>
        </is>
      </c>
    </row>
    <row r="19" ht="60" customHeight="1">
      <c r="A19" s="20" t="inlineStr">
        <is>
          <t>Q118</t>
        </is>
      </c>
      <c r="B19" s="20" t="inlineStr">
        <is>
          <t>Part 5</t>
        </is>
      </c>
      <c r="C19" s="20" t="inlineStr">
        <is>
          <t>A</t>
        </is>
      </c>
      <c r="D19" s="21" t="inlineStr">
        <is>
          <t>[지문/문장 분석]
N/A</t>
        </is>
      </c>
      <c r="E19" s="21" t="inlineStr">
        <is>
          <t>[1초 공식: grant access (출입/접근 권한을 부여하다)]
'grant access to ~'는 토익 빈출 필수 연어로, 권한이나 허가를 '부여하다'를 뜻하는 (A) grant가 정답입니다.</t>
        </is>
      </c>
      <c r="F19" s="21" t="inlineStr">
        <is>
          <t>[정답 도출 팁] 정답 (A)번 근거 및 오답 소거 확인</t>
        </is>
      </c>
      <c r="G19" s="21" t="inlineStr">
        <is>
          <t>security personnel(보안 요원); grant access(접근 권한을 부여하다); valid credentials(유효한 신분증/자격 증명)</t>
        </is>
      </c>
    </row>
    <row r="20">
      <c r="A20" s="17" t="inlineStr">
        <is>
          <t>Q119</t>
        </is>
      </c>
      <c r="B20" s="17" t="inlineStr">
        <is>
          <t>Part 5</t>
        </is>
      </c>
      <c r="C20" s="17" t="inlineStr">
        <is>
          <t>A</t>
        </is>
      </c>
      <c r="D20" s="18" t="inlineStr">
        <is>
          <t>[지문/문장 분석]
N/A</t>
        </is>
      </c>
      <c r="E20" s="18" t="inlineStr">
        <is>
          <t>[1초 공식: 접속사 vs 전치사 구별]
콤마(,) 앞이 완전한 절(주어 the budget + 동사 was constrained)이므로 접속사 (A) Although가 정답입니다. 나머지는 모두 전치사(구)입니다.</t>
        </is>
      </c>
      <c r="F20" s="18" t="inlineStr">
        <is>
          <t>[정답 도출 팁] 정답 (A)번 근거 및 오답 소거 확인</t>
        </is>
      </c>
      <c r="G20" s="18" t="inlineStr">
        <is>
          <t>constrained(제약된); groundbreaking results(획기적인 결과); on time(정시에)</t>
        </is>
      </c>
    </row>
    <row r="21">
      <c r="A21" s="20" t="inlineStr">
        <is>
          <t>Q120</t>
        </is>
      </c>
      <c r="B21" s="20" t="inlineStr">
        <is>
          <t>Part 5</t>
        </is>
      </c>
      <c r="C21" s="20" t="inlineStr">
        <is>
          <t>A</t>
        </is>
      </c>
      <c r="D21" s="21" t="inlineStr">
        <is>
          <t>[지문/문장 분석]
N/A</t>
        </is>
      </c>
      <c r="E21" s="21" t="inlineStr">
        <is>
          <t>[1초 공식: 주어의 승진 = 수동태]
Ms. Vance는 인사권자에 의해 승진 '되는' 수동의 주체이며, 빈칸 뒤에 목적어가 없으므로 현재완료 수동태인 (A) has been promoted가 정답입니다.</t>
        </is>
      </c>
      <c r="F21" s="21" t="inlineStr">
        <is>
          <t>[정답 도출 팁] 정답 (A)번 근거 및 오답 소거 확인</t>
        </is>
      </c>
      <c r="G21" s="21" t="inlineStr">
        <is>
          <t>promote to(~로 승진시키다); regional vice president(지역 부사장); outstanding performance(뛰어난 실적)</t>
        </is>
      </c>
    </row>
    <row r="22">
      <c r="A22" s="17" t="inlineStr">
        <is>
          <t>Q121</t>
        </is>
      </c>
      <c r="B22" s="17" t="inlineStr">
        <is>
          <t>Part 5</t>
        </is>
      </c>
      <c r="C22" s="17" t="inlineStr">
        <is>
          <t>A</t>
        </is>
      </c>
      <c r="D22" s="18" t="inlineStr">
        <is>
          <t>[지문/문장 분석]
N/A</t>
        </is>
      </c>
      <c r="E22" s="18" t="inlineStr">
        <is>
          <t>[1초 공식: 소유격 + [형용사] + 명사(gratitude)]
명사 gratitude(감사)를 수식하는 형용사 자리이므로 (A) sincere(진심 어린)가 정답입니다. (express sincere gratitude = 진심 어린 감사를 표하다).</t>
        </is>
      </c>
      <c r="F22" s="18" t="inlineStr">
        <is>
          <t>[정답 도출 팁] 정답 (A)번 근거 및 오답 소거 확인</t>
        </is>
      </c>
      <c r="G22" s="18" t="inlineStr">
        <is>
          <t>board of directors(이사회); express sincere gratitude(진심 어린 감사를 표하다); generous contribution(관대한 기부/기여)</t>
        </is>
      </c>
    </row>
    <row r="23">
      <c r="A23" s="20" t="inlineStr">
        <is>
          <t>Q122</t>
        </is>
      </c>
      <c r="B23" s="20" t="inlineStr">
        <is>
          <t>Part 5</t>
        </is>
      </c>
      <c r="C23" s="20" t="inlineStr">
        <is>
          <t>A</t>
        </is>
      </c>
      <c r="D23" s="21" t="inlineStr">
        <is>
          <t>[지문/문장 분석]
N/A</t>
        </is>
      </c>
      <c r="E23" s="21" t="inlineStr">
        <is>
          <t>[1초 공식: 전치사 + 동명사 + 목적어]
전치사 Before 뒤에서 목적어 'the final purchase contract'를 취할 수 있는 것은 동명사 (A) signing입니다.</t>
        </is>
      </c>
      <c r="F23" s="21" t="inlineStr">
        <is>
          <t>[정답 도출 팁] 정답 (A)번 근거 및 오답 소거 확인</t>
        </is>
      </c>
      <c r="G23" s="21" t="inlineStr">
        <is>
          <t>purchase contract(구매 계약서); corporate attorney(기업 변호사); liability clause(책임 조항)</t>
        </is>
      </c>
    </row>
    <row r="24">
      <c r="A24" s="17" t="inlineStr">
        <is>
          <t>Q123</t>
        </is>
      </c>
      <c r="B24" s="17" t="inlineStr">
        <is>
          <t>Part 5</t>
        </is>
      </c>
      <c r="C24" s="17" t="inlineStr">
        <is>
          <t>A</t>
        </is>
      </c>
      <c r="D24" s="18" t="inlineStr">
        <is>
          <t>[지문/문장 분석]
N/A</t>
        </is>
      </c>
      <c r="E24" s="18" t="inlineStr">
        <is>
          <t>[문맥 어휘 판별]
지난 회계연도 동안 재생 에너지 부문이 '상당한, 눈에 띄는(substantial)' 성장을 겪었다는 문맥이 가장 자연스럽습니다. (reluctant: 꺼리는, fragile: 깨지기 쉬운).</t>
        </is>
      </c>
      <c r="F24" s="18" t="inlineStr">
        <is>
          <t>[정답 도출 팁] 정답 (A)번 근거 및 오답 소거 확인</t>
        </is>
      </c>
      <c r="G24" s="18" t="inlineStr">
        <is>
          <t>fiscal year(회계연도); renewable energy sector(재생 에너지 부문); substantial growth(상당한 성장)</t>
        </is>
      </c>
    </row>
    <row r="25">
      <c r="A25" s="20" t="inlineStr">
        <is>
          <t>Q124</t>
        </is>
      </c>
      <c r="B25" s="20" t="inlineStr">
        <is>
          <t>Part 5</t>
        </is>
      </c>
      <c r="C25" s="20" t="inlineStr">
        <is>
          <t>A</t>
        </is>
      </c>
      <c r="D25" s="21" t="inlineStr">
        <is>
          <t>[지문/문장 분석]
N/A</t>
        </is>
      </c>
      <c r="E25" s="21" t="inlineStr">
        <is>
          <t>[1초 공식: report directly to (~에게 직속으로 보고하다)]
동사구 report to 사이에서 '직접, 직속으로'의 의미로 수식하는 부사는 (A) directly입니다.</t>
        </is>
      </c>
      <c r="F25" s="21" t="inlineStr">
        <is>
          <t>[정답 도출 팁] 정답 (A)번 근거 및 오답 소거 확인</t>
        </is>
      </c>
      <c r="G25" s="21" t="inlineStr">
        <is>
          <t>report directly to(~에게 직접 보고하다); Chief Operations Officer(최고운영책임자, COO)</t>
        </is>
      </c>
    </row>
    <row r="26">
      <c r="A26" s="17" t="inlineStr">
        <is>
          <t>Q125</t>
        </is>
      </c>
      <c r="B26" s="17" t="inlineStr">
        <is>
          <t>Part 5</t>
        </is>
      </c>
      <c r="C26" s="17" t="inlineStr">
        <is>
          <t>A</t>
        </is>
      </c>
      <c r="D26" s="18" t="inlineStr">
        <is>
          <t>[지문/문장 분석]
N/A</t>
        </is>
      </c>
      <c r="E26" s="18" t="inlineStr">
        <is>
          <t>[1초 공식: 선행사 사람 + [whose] + 무관사 명사(research paper)]
선행사 Dr. Harris와 뒤의 명사 research paper 사이에서 소유 관계('그녀의 연구 논문')를 연결하는 소유격 관계대명사는 (A) whose입니다.</t>
        </is>
      </c>
      <c r="F26" s="18" t="inlineStr">
        <is>
          <t>[정답 도출 팁] 정답 (A)번 근거 및 오답 소거 확인</t>
        </is>
      </c>
      <c r="G26" s="18" t="inlineStr">
        <is>
          <t>research paper(연구 논문); nanotechnology(나노기술); deliver a keynote speech(기조연설을 하다)</t>
        </is>
      </c>
    </row>
    <row r="27">
      <c r="A27" s="20" t="inlineStr">
        <is>
          <t>Q126</t>
        </is>
      </c>
      <c r="B27" s="20" t="inlineStr">
        <is>
          <t>Part 5</t>
        </is>
      </c>
      <c r="C27" s="20" t="inlineStr">
        <is>
          <t>A</t>
        </is>
      </c>
      <c r="D27" s="21" t="inlineStr">
        <is>
          <t>[지문/문장 분석]
N/A</t>
        </is>
      </c>
      <c r="E27" s="21" t="inlineStr">
        <is>
          <t>[1초 공식: in accordance with (~에 따라, ~에 부합하여)]
'연방 환경 안전 규정에 부합하여/따라'의 의미를 완성하는 복합 전치사구는 in accordance with이므로 (A) accordance가 정답입니다.</t>
        </is>
      </c>
      <c r="F27" s="21" t="inlineStr">
        <is>
          <t>[정답 도출 팁] 정답 (A)번 근거 및 오답 소거 확인</t>
        </is>
      </c>
      <c r="G27" s="21" t="inlineStr">
        <is>
          <t>waste disposal(폐기물 처리); in accordance with(~에 부합하여, 준수하여); environmental standards(환경 기준)</t>
        </is>
      </c>
    </row>
    <row r="28">
      <c r="A28" s="17" t="inlineStr">
        <is>
          <t>Q127</t>
        </is>
      </c>
      <c r="B28" s="17" t="inlineStr">
        <is>
          <t>Part 5</t>
        </is>
      </c>
      <c r="C28" s="17" t="inlineStr">
        <is>
          <t>A</t>
        </is>
      </c>
      <c r="D28" s="18" t="inlineStr">
        <is>
          <t>[지문/문장 분석]
N/A</t>
        </is>
      </c>
      <c r="E28" s="18" t="inlineStr">
        <is>
          <t>[문맥 어휘 판별]
특급 택배 배송을 선택하여 주문 배송을 '신속히 처리하다(expedite)'의 문맥이므로 (A) expedite가 정답입니다. (postpone: 연기하다, terminate: 종료하다).</t>
        </is>
      </c>
      <c r="F28" s="18" t="inlineStr">
        <is>
          <t>[정답 도출 팁] 정답 (A)번 근거 및 오답 소거 확인</t>
        </is>
      </c>
      <c r="G28" s="18" t="inlineStr">
        <is>
          <t>expedite delivery(배송을 신속히 처리하다); express courier shipping(특급 택배 배송); checkout(결제 단계)</t>
        </is>
      </c>
    </row>
    <row r="29">
      <c r="A29" s="20" t="inlineStr">
        <is>
          <t>Q128</t>
        </is>
      </c>
      <c r="B29" s="20" t="inlineStr">
        <is>
          <t>Part 5</t>
        </is>
      </c>
      <c r="C29" s="20" t="inlineStr">
        <is>
          <t>A</t>
        </is>
      </c>
      <c r="D29" s="21" t="inlineStr">
        <is>
          <t>[지문/문장 분석]
N/A</t>
        </is>
      </c>
      <c r="E29" s="21" t="inlineStr">
        <is>
          <t>[토익 850+ 킬러 도치 공식: Were it not for ~]
'If it were not for ~(~이 없다면)' 구문에서 If가 생략되면 주어와 be동사가 도치되어 'Were it not for ~' 형태가 됩니다. 조동사 과거 could not remain open과 호응하는 가정법 과거 도치입니다.</t>
        </is>
      </c>
      <c r="F29" s="21" t="inlineStr">
        <is>
          <t>[정답 도출 팁] 정답 (A)번 근거 및 오답 소거 확인</t>
        </is>
      </c>
      <c r="G29" s="21" t="inlineStr">
        <is>
          <t>Were it not for(~이 없다면); generous support(아낌없는 성원); remain open(계속 운영되다)</t>
        </is>
      </c>
    </row>
    <row r="30">
      <c r="A30" s="17" t="inlineStr">
        <is>
          <t>Q129</t>
        </is>
      </c>
      <c r="B30" s="17" t="inlineStr">
        <is>
          <t>Part 5</t>
        </is>
      </c>
      <c r="C30" s="17" t="inlineStr">
        <is>
          <t>A</t>
        </is>
      </c>
      <c r="D30" s="18" t="inlineStr">
        <is>
          <t>[지문/문장 분석]
N/A</t>
        </is>
      </c>
      <c r="E30" s="18" t="inlineStr">
        <is>
          <t>[문맥 어휘 판별]
설문조사 결과를 논의한 후 위원회 위원들이 재택근무 정책을 '만장일치로(unanimously)' 승인했다는 문맥이 가장 자연스럽습니다.</t>
        </is>
      </c>
      <c r="F30" s="18" t="inlineStr">
        <is>
          <t>[정답 도출 팁] 정답 (A)번 근거 및 오답 소거 확인</t>
        </is>
      </c>
      <c r="G30" s="18" t="inlineStr">
        <is>
          <t>committee members(위원회 위원); unanimously approved(만장일치로 승인했다); telecommuting policy(재택근무 정책)</t>
        </is>
      </c>
    </row>
    <row r="31">
      <c r="A31" s="20" t="inlineStr">
        <is>
          <t>Q130</t>
        </is>
      </c>
      <c r="B31" s="20" t="inlineStr">
        <is>
          <t>Part 5</t>
        </is>
      </c>
      <c r="C31" s="20" t="inlineStr">
        <is>
          <t>A</t>
        </is>
      </c>
      <c r="D31" s="21" t="inlineStr">
        <is>
          <t>[지문/문장 분석]
N/A</t>
        </is>
      </c>
      <c r="E31" s="21" t="inlineStr">
        <is>
          <t>[1초 공식: rigorous standards / protocols (엄격한 기준/규정)]
항공 우주 엔진 시험 전 지켜야 하는 안전 규범을 수식하는 가장 적절한 형용사는 '엄격한, 철저한'을 뜻하는 (A) rigorous입니다.</t>
        </is>
      </c>
      <c r="F31" s="21" t="inlineStr">
        <is>
          <t>[정답 도출 팁] 정답 (A)번 근거 및 오답 소거 확인</t>
        </is>
      </c>
      <c r="G31" s="21" t="inlineStr">
        <is>
          <t>aerospace contractor(항공우주 계약업체); rigorous protocols(엄격한 수칙); experimental engine(실험용 엔진)</t>
        </is>
      </c>
    </row>
    <row r="32">
      <c r="A32" s="17" t="inlineStr">
        <is>
          <t>Q131</t>
        </is>
      </c>
      <c r="B32" s="17" t="inlineStr">
        <is>
          <t>Part 6</t>
        </is>
      </c>
      <c r="C32" s="17" t="inlineStr">
        <is>
          <t>A</t>
        </is>
      </c>
      <c r="D32" s="18" t="inlineStr">
        <is>
          <t>[지문/문장 분석]
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E32" s="18" t="inlineStr">
        <is>
          <t>[정답 분석] 앞 문장의 대규모 공사라는 원인에 따라 재택근무를 권장하는 인과 관계이므로 접속부사 (A) Therefore(그러므로, 따라서)가 정답입니다.</t>
        </is>
      </c>
      <c r="F32" s="18" t="inlineStr">
        <is>
          <t>[정답 도출 팁] 정답 (A)번 근거 및 오답 소거 확인</t>
        </is>
      </c>
      <c r="G32" s="18" t="inlineStr">
        <is>
          <t>headquarters(본사); undergo(겪다); extensive renovation(대규모 보수공사); work remotely(원격 근무하다)</t>
        </is>
      </c>
    </row>
    <row r="33">
      <c r="A33" s="20" t="inlineStr">
        <is>
          <t>Q132</t>
        </is>
      </c>
      <c r="B33" s="20" t="inlineStr">
        <is>
          <t>Part 6</t>
        </is>
      </c>
      <c r="C33" s="20" t="inlineStr">
        <is>
          <t>A</t>
        </is>
      </c>
      <c r="D33" s="21" t="inlineStr">
        <is>
          <t>[지문/문장 분석]
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E33" s="21" t="inlineStr">
        <is>
          <t>[정답 분석] 앞 문장의 '임시 출입증 사전 신청' 규정을 받는 지시대명사 'This'가 들어가며, 보안 수칙 준수 목적을 설명하는 (A)가 문맥상 완벽합니다.</t>
        </is>
      </c>
      <c r="F33" s="21" t="inlineStr">
        <is>
          <t>[정답 도출 팁] 정답 (A)번 근거 및 오답 소거 확인</t>
        </is>
      </c>
      <c r="G33" s="21" t="inlineStr">
        <is>
          <t>temporary badge clearance(임시 출입증 승인); security protocol(보안 수칙); uncompromised(훼손되지 않은)</t>
        </is>
      </c>
    </row>
    <row r="34">
      <c r="A34" s="17" t="inlineStr">
        <is>
          <t>Q133</t>
        </is>
      </c>
      <c r="B34" s="17" t="inlineStr">
        <is>
          <t>Part 6</t>
        </is>
      </c>
      <c r="C34" s="17" t="inlineStr">
        <is>
          <t>A</t>
        </is>
      </c>
      <c r="D34" s="18" t="inlineStr">
        <is>
          <t>[지문/문장 분석]
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E34" s="18" t="inlineStr">
        <is>
          <t>[정답 분석] remain 뒤에서 주격 보어 역할을 하는 형용사 자리이므로 (A) functional(기능을 다하는, 정상 작동하는)이 정답입니다.</t>
        </is>
      </c>
      <c r="F34" s="18" t="inlineStr">
        <is>
          <t>[정답 도출 팁] 정답 (A)번 근거 및 오답 소거 확인</t>
        </is>
      </c>
      <c r="G34" s="18" t="inlineStr">
        <is>
          <t>remain functional(정상 가동 상태를 유지하다); workstation(업무 공간/컴퓨터)</t>
        </is>
      </c>
    </row>
    <row r="35">
      <c r="A35" s="20" t="inlineStr">
        <is>
          <t>Q134</t>
        </is>
      </c>
      <c r="B35" s="20" t="inlineStr">
        <is>
          <t>Part 6</t>
        </is>
      </c>
      <c r="C35" s="20" t="inlineStr">
        <is>
          <t>A</t>
        </is>
      </c>
      <c r="D35" s="21" t="inlineStr">
        <is>
          <t>[지문/문장 분석]
MEMORANDUM
To: All Department Heads
From: Corporate Operations
Date: October 5
Subject: Office Renovation and Remote Work
Starting next Monday, our headquarters will undergo extensive interior renovations on the 4th and 5th floors. [ 131 ], all staff members in these divisions are encouraged to work remotely until construction concludes on October 25.
Employees requiring physical access to company servers must request temporary badge clearance at least 24 hours in advance. [ 132 ] Please direct all inquiries to facility management.
We recognize that this disruption may present minor logistical challenges. Management is committed to providing all necessary technical equipment to ensure that your home workstations remain fully [ 133 ]. If you need additional laptop docks or external monitors, please contact IT support before Friday.
[ 134 ] We appreciate your patience and flexibility as we modernize our work environment.</t>
        </is>
      </c>
      <c r="E35" s="21" t="inlineStr">
        <is>
          <t>[정답 분석] 10월 25일 공사 완료 후 10월 28일 월요일부터 정상 현장 업무가 재개될 것이라는 자연스러운 일정 안내인 (A)가 정답입니다.</t>
        </is>
      </c>
      <c r="F35" s="21" t="inlineStr">
        <is>
          <t>[정답 도출 팁] 정답 (A)번 근거 및 오답 소거 확인</t>
        </is>
      </c>
      <c r="G35" s="21" t="inlineStr">
        <is>
          <t>on-site operations(현장 업무); resume smoothly(원활히 재개되다)</t>
        </is>
      </c>
    </row>
    <row r="36">
      <c r="A36" s="17" t="inlineStr">
        <is>
          <t>Q135</t>
        </is>
      </c>
      <c r="B36" s="17" t="inlineStr">
        <is>
          <t>Part 6</t>
        </is>
      </c>
      <c r="C36" s="17" t="inlineStr">
        <is>
          <t>A</t>
        </is>
      </c>
      <c r="D36" s="18" t="inlineStr">
        <is>
          <t>[지문/문장 분석]
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E36" s="18" t="inlineStr">
        <is>
          <t>[1초 공식: Over the past + 기간 = 현재완료]
'Over the past six months(지난 6개월 동안)'는 과거부터 현재까지 이어진 기간을 나타내므로 현재완료 시제인 (A) has developed가 정답입니다.</t>
        </is>
      </c>
      <c r="F36" s="18" t="inlineStr">
        <is>
          <t>[정답 도출 팁] 정답 (A)번 근거 및 오답 소거 확인</t>
        </is>
      </c>
      <c r="G36" s="18" t="inlineStr">
        <is>
          <t>over the past + 기간(지난 ~동안); brand-new(신규의); money transfer(송금)</t>
        </is>
      </c>
    </row>
    <row r="37">
      <c r="A37" s="20" t="inlineStr">
        <is>
          <t>Q136</t>
        </is>
      </c>
      <c r="B37" s="20" t="inlineStr">
        <is>
          <t>Part 6</t>
        </is>
      </c>
      <c r="C37" s="20" t="inlineStr">
        <is>
          <t>A</t>
        </is>
      </c>
      <c r="D37" s="21" t="inlineStr">
        <is>
          <t>[지문/문장 분석]
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E37" s="21" t="inlineStr">
        <is>
          <t>[정답 분석] 모바일 앱의 편리한 기능(공과금 결제, 실시간 환율)을 소개하는 문맥에 이어 보안 기능(생체 인식 로그인)을 설명하는 (A)가 완벽합니다.</t>
        </is>
      </c>
      <c r="F37" s="21" t="inlineStr">
        <is>
          <t>[정답 도출 팁] 정답 (A)번 근거 및 오답 소거 확인</t>
        </is>
      </c>
      <c r="G37" s="21" t="inlineStr">
        <is>
          <t>biometric login(생체 인식 로그인); state-of-the-art protection(최첨단 보안 보호)</t>
        </is>
      </c>
    </row>
    <row r="38">
      <c r="A38" s="17" t="inlineStr">
        <is>
          <t>Q137</t>
        </is>
      </c>
      <c r="B38" s="17" t="inlineStr">
        <is>
          <t>Part 6</t>
        </is>
      </c>
      <c r="C38" s="17" t="inlineStr">
        <is>
          <t>A</t>
        </is>
      </c>
      <c r="D38" s="18" t="inlineStr">
        <is>
          <t>[지문/문장 분석]
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E38" s="18" t="inlineStr">
        <is>
          <t>[1초 공식: spaces/seats are limited (인원이 한정된)]
뒤의 선착순(first-come, first-served) 단서와 어울려 좌석/인원이 제한되어 있음을 뜻하는 형용사는 (A) limited입니다.</t>
        </is>
      </c>
      <c r="F38" s="18" t="inlineStr">
        <is>
          <t>[정답 도출 팁] 정답 (A)번 근거 및 오답 소거 확인</t>
        </is>
      </c>
      <c r="G38" s="18" t="inlineStr">
        <is>
          <t>spaces are limited(좌석이 한정되어 있다); first-come, first-served(선착순)</t>
        </is>
      </c>
    </row>
    <row r="39">
      <c r="A39" s="20" t="inlineStr">
        <is>
          <t>Q138</t>
        </is>
      </c>
      <c r="B39" s="20" t="inlineStr">
        <is>
          <t>Part 6</t>
        </is>
      </c>
      <c r="C39" s="20" t="inlineStr">
        <is>
          <t>A</t>
        </is>
      </c>
      <c r="D39" s="21" t="inlineStr">
        <is>
          <t>[지문/문장 분석]
Dear Valued Customer,
We appreciate your continued trust in Meridian Bank. Over the past six months, our technology team [ 135 ] a brand-new mobile banking application designed to provide faster international money transfers. We are delighted to announce that this app is now available for download.
With our updated platform, you can effortlessly manage recurring utility payments, monitor exchange rates in real time, and lock credit cards with a single tap. [ 136 ] To celebrate this milestone, we are offering a promotional cash-back reward for all users who complete their first mobile transaction before November 30.
To register for the upcoming regional financial seminar introducing this technology, participants must submit their registration form online. Please note that spaces are [ 137 ], and reservations will be processed on a first-come, first-served basis.
Should you require any assistance navigating the new application, our digital banking support team is available 24 hours a day. We look forward to [ 138 ] you with an even higher standard of banking excellence.</t>
        </is>
      </c>
      <c r="E39" s="21" t="inlineStr">
        <is>
          <t>[1초 공식: look forward to + 동명사(-ing)]
'look forward to'의 to는 전치사이므로 뒤에 동명사인 (A) serving이 정답입니다.</t>
        </is>
      </c>
      <c r="F39" s="21" t="inlineStr">
        <is>
          <t>[정답 도출 팁] 정답 (A)번 근거 및 오답 소거 확인</t>
        </is>
      </c>
      <c r="G39" s="21" t="inlineStr">
        <is>
          <t>look forward to -ing(~하기를 고대하다); standard of excellence(탁월한 기준)</t>
        </is>
      </c>
    </row>
    <row r="40">
      <c r="A40" s="17" t="inlineStr">
        <is>
          <t>Q139</t>
        </is>
      </c>
      <c r="B40" s="17" t="inlineStr">
        <is>
          <t>Part 6</t>
        </is>
      </c>
      <c r="C40" s="17" t="inlineStr">
        <is>
          <t>A</t>
        </is>
      </c>
      <c r="D40" s="18" t="inlineStr">
        <is>
          <t>[지문/문장 분석]
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E40" s="18" t="inlineStr">
        <is>
          <t>[문맥 어휘 판별]
두 물류 회사가 결합한다는 문맥(combined enterprise)이므로 '합병'을 뜻하는 (A) merger가 정답입니다.</t>
        </is>
      </c>
      <c r="F40" s="18" t="inlineStr">
        <is>
          <t>[정답 도출 팁] 정답 (A)번 근거 및 오답 소거 확인</t>
        </is>
      </c>
      <c r="G40" s="18" t="inlineStr">
        <is>
          <t>strategic merger(전략적 합병); combined enterprise(결합 기업); multimodal shipping(복합 운송)</t>
        </is>
      </c>
    </row>
    <row r="41">
      <c r="A41" s="20" t="inlineStr">
        <is>
          <t>Q140</t>
        </is>
      </c>
      <c r="B41" s="20" t="inlineStr">
        <is>
          <t>Part 6</t>
        </is>
      </c>
      <c r="C41" s="20" t="inlineStr">
        <is>
          <t>A</t>
        </is>
      </c>
      <c r="D41" s="21" t="inlineStr">
        <is>
          <t>[지문/문장 분석]
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E41" s="21" t="inlineStr">
        <is>
          <t>[정답 분석] 합병의 시너지와 운영 효율(operational efficiencies)을 설명하는 문맥에 이어 구체적 연간 비용 절감 효과(8,000만 달러 이상)를 제시한 (A)가 가장 자연스럽습니다.</t>
        </is>
      </c>
      <c r="F41" s="21" t="inlineStr">
        <is>
          <t>[정답 도출 팁] 정답 (A)번 근거 및 오답 소거 확인</t>
        </is>
      </c>
      <c r="G41" s="21" t="inlineStr">
        <is>
          <t>industry analyst(업계 분석가); cost savings(비용 절감)</t>
        </is>
      </c>
    </row>
    <row r="42">
      <c r="A42" s="17" t="inlineStr">
        <is>
          <t>Q141</t>
        </is>
      </c>
      <c r="B42" s="17" t="inlineStr">
        <is>
          <t>Part 6</t>
        </is>
      </c>
      <c r="C42" s="17" t="inlineStr">
        <is>
          <t>A</t>
        </is>
      </c>
      <c r="D42" s="18" t="inlineStr">
        <is>
          <t>[지문/문장 분석]
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E42" s="18" t="inlineStr">
        <is>
          <t>[문맥 어휘 판별]
통합 기간 동안 높은 고객 서비스 기준을 '유지하다'의 문맥이므로 (A) maintaining이 정답입니다. (abandon: 포기하다, neglect: 방치하다).</t>
        </is>
      </c>
      <c r="F42" s="18" t="inlineStr">
        <is>
          <t>[정답 도출 팁] 정답 (A)번 근거 및 오답 소거 확인</t>
        </is>
      </c>
      <c r="G42" s="18" t="inlineStr">
        <is>
          <t>be committed to -ing(~에 전념하다); maintain standards(기준을 유지하다)</t>
        </is>
      </c>
    </row>
    <row r="43">
      <c r="A43" s="20" t="inlineStr">
        <is>
          <t>Q142</t>
        </is>
      </c>
      <c r="B43" s="20" t="inlineStr">
        <is>
          <t>Part 6</t>
        </is>
      </c>
      <c r="C43" s="20" t="inlineStr">
        <is>
          <t>A</t>
        </is>
      </c>
      <c r="D43" s="21" t="inlineStr">
        <is>
          <t>[지문/문장 분석]
FOR IMMEDIATE RELEASE
SEATTLE — Apex Global Logistics today officially announced its strategic [ 139 ] with Pacific Freight Solutions. The combined enterprise will operate under the unified brand Apex-Pacific Global, creating one of the largest multimodal shipping networks in North America.
The merger is expected to yield substantial operational efficiencies, combining Apex's advanced warehousing technologies with Pacific's extensive maritime routes. [ 140 ] Under the terms of the agreement, current Apex CEO Marcus Vance will serve as Executive Chairman of the new conglomerate.
"This alliance allows us to deliver unprecedented value to our international commercial clients," stated Mr. Vance during this morning's press conference. "We remain fully committed to [ 141 ] customer service standards throughout the operational transition."
All existing supply contracts and client agreements will remain fully honored without interruption. [ 142 ] Additional corporate filing documents have been submitted to regulatory authorities for standard review.</t>
        </is>
      </c>
      <c r="E43" s="21" t="inlineStr">
        <is>
          <t>[정답 분석] 앞 문장의 기존 계약이 중단 없이 유지된다는 내용에 이어, 고객들이 기존 전담 담당자와 계속 소통할 수 있다는 안심 안내문인 (A)가 정답입니다.</t>
        </is>
      </c>
      <c r="F43" s="21" t="inlineStr">
        <is>
          <t>[정답 도출 팁] 정답 (A)번 근거 및 오답 소거 확인</t>
        </is>
      </c>
      <c r="G43" s="21" t="inlineStr">
        <is>
          <t>dedicated account representative(전담 계정 담당자); interact as usual(평소처럼 소통하다)</t>
        </is>
      </c>
    </row>
    <row r="44">
      <c r="A44" s="17" t="inlineStr">
        <is>
          <t>Q143</t>
        </is>
      </c>
      <c r="B44" s="17" t="inlineStr">
        <is>
          <t>Part 6</t>
        </is>
      </c>
      <c r="C44" s="17" t="inlineStr">
        <is>
          <t>A</t>
        </is>
      </c>
      <c r="D44" s="18" t="inlineStr">
        <is>
          <t>[지문/문장 분석]
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E44" s="18" t="inlineStr">
        <is>
          <t>[1초 공식: establish goals (목표를 수립하다)]
새해를 위한 전략적 전문 목표를 '수립하다'를 나타내는 동사는 (A) establish입니다.</t>
        </is>
      </c>
      <c r="F44" s="18" t="inlineStr">
        <is>
          <t>[정답 도출 팁] 정답 (A)번 근거 및 오답 소거 확인</t>
        </is>
      </c>
      <c r="G44" s="18" t="inlineStr">
        <is>
          <t>performance appraisal(인사 고과/성과 평가); establish goals(목표를 세우다); accomplishment(성과)</t>
        </is>
      </c>
    </row>
    <row r="45">
      <c r="A45" s="20" t="inlineStr">
        <is>
          <t>Q144</t>
        </is>
      </c>
      <c r="B45" s="20" t="inlineStr">
        <is>
          <t>Part 6</t>
        </is>
      </c>
      <c r="C45" s="20" t="inlineStr">
        <is>
          <t>A</t>
        </is>
      </c>
      <c r="D45" s="21" t="inlineStr">
        <is>
          <t>[지문/문장 분석]
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E45" s="21" t="inlineStr">
        <is>
          <t>[정답 분석] 앞 문장의 부서장과의 1:1 면담 일정 논의에 이어 구체적 면담 진행 기간(11월 20일~12월 8일)을 제시한 (A)가 가장 적절합니다.</t>
        </is>
      </c>
      <c r="F45" s="21" t="inlineStr">
        <is>
          <t>[정답 도출 팁] 정답 (A)번 근거 및 오답 소거 확인</t>
        </is>
      </c>
      <c r="G45" s="21" t="inlineStr">
        <is>
          <t>one-on-one meeting(1:1 면담); occur(열리다, 발생하다)</t>
        </is>
      </c>
    </row>
    <row r="46">
      <c r="A46" s="17" t="inlineStr">
        <is>
          <t>Q145</t>
        </is>
      </c>
      <c r="B46" s="17" t="inlineStr">
        <is>
          <t>Part 6</t>
        </is>
      </c>
      <c r="C46" s="17" t="inlineStr">
        <is>
          <t>A</t>
        </is>
      </c>
      <c r="D46" s="18" t="inlineStr">
        <is>
          <t>[지문/문장 분석]
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E46" s="18" t="inlineStr">
        <is>
          <t>[1초 공식: be uploaded [부사] to ~]
수동태 동사 is uploaded를 뒤에서 수식하는 부사이므로 (A) directly가 정답입니다.</t>
        </is>
      </c>
      <c r="F46" s="18" t="inlineStr">
        <is>
          <t>[정답 도출 팁] 정답 (A)번 근거 및 오답 소거 확인</t>
        </is>
      </c>
      <c r="G46" s="18" t="inlineStr">
        <is>
          <t>supporting documentation(증빙 서류); upload directly(직접 업로드하다)</t>
        </is>
      </c>
    </row>
    <row r="47">
      <c r="A47" s="20" t="inlineStr">
        <is>
          <t>Q146</t>
        </is>
      </c>
      <c r="B47" s="20" t="inlineStr">
        <is>
          <t>Part 6</t>
        </is>
      </c>
      <c r="C47" s="20" t="inlineStr">
        <is>
          <t>A</t>
        </is>
      </c>
      <c r="D47" s="21" t="inlineStr">
        <is>
          <t>[지문/문장 분석]
INTERNAL MEMORANDUM
To: All Staff Members
From: Human Resources Division
Date: November 1
Subject: Annual Performance Evaluations and Goal Setting
As we approach the conclusion of the fourth quarter, it is time to initiate our annual performance appraisal process. This annual review provides an invaluable opportunity for employees and managers to reflect on individual accomplishments and [ 143 ] strategic professional goals for the coming year.
All employees must complete their self-assessment forms via the employee portal by Friday, November 17. Following the submission deadline, department supervisors will schedule one-on-one review meetings to discuss achievements and professional development plans. [ 144 ]
Please ensure that all supporting documentation, such as client praise letters and sales records, is uploaded [ 145 ] to your evaluation file. Incomplete submissions may delay eligibility for annual salary adjustments and merit bonuses.
[ 146 ] We thank you for your hard work and dedication throughout this exceptionally productive year.</t>
        </is>
      </c>
      <c r="E47" s="21" t="inlineStr">
        <is>
          <t>[정답 분석] 인사고과 안내문 마지막에 평가 기준에 대한 의문점이 있을 시 인사부로 문의하라는 표준 안내문인 (A)가 정답입니다.</t>
        </is>
      </c>
      <c r="F47" s="21" t="inlineStr">
        <is>
          <t>[정답 도출 팁] 정답 (A)번 근거 및 오답 소거 확인</t>
        </is>
      </c>
      <c r="G47" s="21" t="inlineStr">
        <is>
          <t>evaluation criteria(평가 기준); contact HR(인사부에 문의하다)</t>
        </is>
      </c>
    </row>
    <row r="48">
      <c r="A48" s="17" t="inlineStr">
        <is>
          <t>Q147</t>
        </is>
      </c>
      <c r="B48" s="17" t="inlineStr">
        <is>
          <t>Part 7</t>
        </is>
      </c>
      <c r="C48" s="17" t="inlineStr">
        <is>
          <t>B</t>
        </is>
      </c>
      <c r="D48" s="18" t="inlineStr">
        <is>
          <t>[지문/문장 분석]
TEXT MESSAGE CONVERSATION
Mark Davies [10:14 A.M.]:
Hi Karen, are you still at the design client's office? I need to know if they approved the color scheme for the brochure.
Karen Mills [10:16 A.M.]:
Yes, Mr. Baxter loved the navy and emerald green layout! He just signed off on the proofs. I'm heading back to our studio now.
Mark Davies [10:18 A.M.]:
That's fantastic. Could you pick up a box of glossy cardstock from PrintSupply on your way back? We're completely out of stock.
Karen Mills [10:19 A.M.]:
Sure thing. I'll be back at the office by 11:15 A.M.</t>
        </is>
      </c>
      <c r="E48" s="18" t="inlineStr">
        <is>
          <t>[정답 분석] Karen의 문자에서 'Mr. Baxter loved the navy and emerald green layout! He just signed off on the proofs'라고 브로슈어 색상 배치를 승인했음을 알 수 있습니다.</t>
        </is>
      </c>
      <c r="F48" s="18" t="inlineStr">
        <is>
          <t>[정답 도출 팁] 정답 (B)번 근거 및 오답 소거 확인</t>
        </is>
      </c>
      <c r="G48" s="18" t="inlineStr">
        <is>
          <t>color scheme(색상 구성); sign off on(승인하다); proof(교정본)</t>
        </is>
      </c>
    </row>
    <row r="49">
      <c r="A49" s="20" t="inlineStr">
        <is>
          <t>Q148</t>
        </is>
      </c>
      <c r="B49" s="20" t="inlineStr">
        <is>
          <t>Part 7</t>
        </is>
      </c>
      <c r="C49" s="20" t="inlineStr">
        <is>
          <t>B</t>
        </is>
      </c>
      <c r="D49" s="21" t="inlineStr">
        <is>
          <t>[지문/문장 분석]
TEXT MESSAGE CONVERSATION
Mark Davies [10:14 A.M.]:
Hi Karen, are you still at the design client's office? I need to know if they approved the color scheme for the brochure.
Karen Mills [10:16 A.M.]:
Yes, Mr. Baxter loved the navy and emerald green layout! He just signed off on the proofs. I'm heading back to our studio now.
Mark Davies [10:18 A.M.]:
That's fantastic. Could you pick up a box of glossy cardstock from PrintSupply on your way back? We're completely out of stock.
Karen Mills [10:19 A.M.]:
Sure thing. I'll be back at the office by 11:15 A.M.</t>
        </is>
      </c>
      <c r="E49" s="21" t="inlineStr">
        <is>
          <t>[정답 분석] Mark가 'pick up a box of glossy cardstock from PrintSupply on your way back'을 요청하자 'Sure thing'이라고 수락했으므로 인쇄용지 매장에 들를 것입니다.</t>
        </is>
      </c>
      <c r="F49" s="21" t="inlineStr">
        <is>
          <t>[정답 도출 팁] 정답 (B)번 근거 및 오답 소거 확인</t>
        </is>
      </c>
      <c r="G49" s="21" t="inlineStr">
        <is>
          <t>cardstock(두꺼운 도화지/카드지); out of stock(재고가 떨어진)</t>
        </is>
      </c>
    </row>
    <row r="50">
      <c r="A50" s="17" t="inlineStr">
        <is>
          <t>Q149</t>
        </is>
      </c>
      <c r="B50" s="17" t="inlineStr">
        <is>
          <t>Part 7</t>
        </is>
      </c>
      <c r="C50" s="17" t="inlineStr">
        <is>
          <t>A</t>
        </is>
      </c>
      <c r="D50" s="18" t="inlineStr">
        <is>
          <t>[지문/문장 분석]
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E50" s="18" t="inlineStr">
        <is>
          <t>[정답 분석] 첫 문장의 'will implement an updated policy regarding business travel expense reimbursements'에서 출장비 환급 규정 변경 공지임을 알 수 있습니다.</t>
        </is>
      </c>
      <c r="F50" s="18" t="inlineStr">
        <is>
          <t>[정답 도출 팁] 정답 (A)번 근거 및 오답 소거 확인</t>
        </is>
      </c>
      <c r="G50" s="18" t="inlineStr">
        <is>
          <t>reimbursement(환급); effective + 날짜(~부로 발효되는); implement(시행하다)</t>
        </is>
      </c>
    </row>
    <row r="51">
      <c r="A51" s="20" t="inlineStr">
        <is>
          <t>Q150</t>
        </is>
      </c>
      <c r="B51" s="20" t="inlineStr">
        <is>
          <t>Part 7</t>
        </is>
      </c>
      <c r="C51" s="20" t="inlineStr">
        <is>
          <t>B</t>
        </is>
      </c>
      <c r="D51" s="21" t="inlineStr">
        <is>
          <t>[지문/문장 분석]
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E51" s="21" t="inlineStr">
        <is>
          <t>[정답 분석] 본문의 'physical paper receipts will no longer be accepted. Employees must upload clear digital scans or photos'가 (B) provided in an electronic format으로 전환된 정답입니다.</t>
        </is>
      </c>
      <c r="F51" s="21" t="inlineStr">
        <is>
          <t>[정답 도출 팁] 정답 (B)번 근거 및 오답 소거 확인</t>
        </is>
      </c>
      <c r="G51" s="21" t="inlineStr">
        <is>
          <t>electronic format(전자 형식); physical receipt(종이 영수증); upload(업로드하다)</t>
        </is>
      </c>
    </row>
    <row r="52">
      <c r="A52" s="17" t="inlineStr">
        <is>
          <t>Q151</t>
        </is>
      </c>
      <c r="B52" s="17" t="inlineStr">
        <is>
          <t>Part 7</t>
        </is>
      </c>
      <c r="C52" s="17" t="inlineStr">
        <is>
          <t>A</t>
        </is>
      </c>
      <c r="D52" s="18" t="inlineStr">
        <is>
          <t>[지문/문장 분석]
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E52" s="18" t="inlineStr">
        <is>
          <t>[정답 분석] 청구서에 'Corporate Bulk Discount(10%)'라고 명시되어 있습니다. bulk discount(대량 구매 할인)는 대량(large quantities) 구매에 적용되므로 (A)가 정답입니다.</t>
        </is>
      </c>
      <c r="F52" s="18" t="inlineStr">
        <is>
          <t>[정답 도출 팁] 정답 (A)번 근거 및 오답 소거 확인</t>
        </is>
      </c>
      <c r="G52" s="18" t="inlineStr">
        <is>
          <t>invoice(청구서); bulk discount(대량 구매 할인); large quantities(대량)</t>
        </is>
      </c>
    </row>
    <row r="53">
      <c r="A53" s="20" t="inlineStr">
        <is>
          <t>Q152</t>
        </is>
      </c>
      <c r="B53" s="20" t="inlineStr">
        <is>
          <t>Part 7</t>
        </is>
      </c>
      <c r="C53" s="20" t="inlineStr">
        <is>
          <t>A</t>
        </is>
      </c>
      <c r="D53" s="21" t="inlineStr">
        <is>
          <t>[지문/문장 분석]
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E53" s="21" t="inlineStr">
        <is>
          <t>[정답 분석] 'Delivery Fee: WAIVED (Orders over $1,000)'에 따라 1,000달러를 초과하여 배송비를 지불할 필요가 없었으므로 (A)가 정답입니다.</t>
        </is>
      </c>
      <c r="F53" s="21" t="inlineStr">
        <is>
          <t>[정답 도출 팁] 정답 (A)번 근거 및 오답 소거 확인</t>
        </is>
      </c>
      <c r="G53" s="21" t="inlineStr">
        <is>
          <t>delivery fee waived(배송비 면제); net 30 days(30일 이내 결제)</t>
        </is>
      </c>
    </row>
    <row r="54">
      <c r="A54" s="17" t="inlineStr">
        <is>
          <t>Q153</t>
        </is>
      </c>
      <c r="B54" s="17" t="inlineStr">
        <is>
          <t>Part 7</t>
        </is>
      </c>
      <c r="C54" s="17" t="inlineStr">
        <is>
          <t>B</t>
        </is>
      </c>
      <c r="D54" s="18" t="inlineStr">
        <is>
          <t>[지문/문장 분석]
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E54" s="18" t="inlineStr">
        <is>
          <t>[정답 분석] 제목에 'JOB OPPORTUNITY: DIRECTOR OF DIGITAL MARKETING'이라고 명시되어 있습니다.</t>
        </is>
      </c>
      <c r="F54" s="18" t="inlineStr">
        <is>
          <t>[정답 도출 팁] 정답 (B)번 근거 및 오답 소거 확인</t>
        </is>
      </c>
      <c r="G54" s="18" t="inlineStr">
        <is>
          <t>spearhead(선두에 서다/지휘하다); acquisition(고객 유치)</t>
        </is>
      </c>
    </row>
    <row r="55">
      <c r="A55" s="20" t="inlineStr">
        <is>
          <t>Q154</t>
        </is>
      </c>
      <c r="B55" s="20" t="inlineStr">
        <is>
          <t>Part 7</t>
        </is>
      </c>
      <c r="C55" s="20" t="inlineStr">
        <is>
          <t>A</t>
        </is>
      </c>
      <c r="D55" s="21" t="inlineStr">
        <is>
          <t>[지문/문장 분석]
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E55" s="21" t="inlineStr">
        <is>
          <t>[정답 분석] 'Minimum 7 years of progressive digital marketing experience'에서 7년 이상의 경력이 요건임을 알 수 있습니다.</t>
        </is>
      </c>
      <c r="F55" s="21" t="inlineStr">
        <is>
          <t>[정답 도출 팁] 정답 (A)번 근거 및 오답 소거 확인</t>
        </is>
      </c>
      <c r="G55" s="21" t="inlineStr">
        <is>
          <t>qualifications(자격 요건); progressive experience(발전적인/점진적인 경력)</t>
        </is>
      </c>
    </row>
    <row r="56">
      <c r="A56" s="17" t="inlineStr">
        <is>
          <t>Q155</t>
        </is>
      </c>
      <c r="B56" s="17" t="inlineStr">
        <is>
          <t>Part 7</t>
        </is>
      </c>
      <c r="C56" s="17" t="inlineStr">
        <is>
          <t>B</t>
        </is>
      </c>
      <c r="D56" s="18" t="inlineStr">
        <is>
          <t>[지문/문장 분석]
JOB OPPORTUNITY: DIRECTOR OF DIGITAL MARKETING
Company: NovaTech Solutions
Location: Austin, Texas (Hybrid Remote)
NovaTech Solutions, a leading enterprise cloud software provider, is seeking a visionary Director of Digital Marketing to spearhead our international growth initiatives.
Key Responsibilities:
• Formulate comprehensive multi-channel digital acquisition strategies.
• Oversee a cross-functional team of 12 specialists in SEO, content, and paid advertising.
• Manage an annual promotional budget of $3.5 million.
• Analyze user analytics data and present performance metrics to executive leadership.
Qualifications:
• Bachelor's degree in Marketing, Communications, or related field (MBA preferred).
• Minimum 7 years of progressive digital marketing experience in B2B technology.
• Demonstrated track record of scaling SaaS revenue.
Benefits:
• Competitive base salary with performance bonuses and stock options.
• 100% employer-sponsored health, dental, and vision insurance.
• Generous retirement match (up to 6%).
To apply, please submit your resume and portfolio to careers@novatech.com by October 31.</t>
        </is>
      </c>
      <c r="E56" s="18" t="inlineStr">
        <is>
          <t>[정답 분석] 'submit your resume and portfolio to careers@novatech.com'에서 이메일 제출임을 알 수 있습니다.</t>
        </is>
      </c>
      <c r="F56" s="18" t="inlineStr">
        <is>
          <t>[정답 도출 팁] 정답 (B)번 근거 및 오답 소거 확인</t>
        </is>
      </c>
      <c r="G56" s="18" t="inlineStr">
        <is>
          <t>submit resume(이력서를 제출하다); employer-sponsored(회사 지원의)</t>
        </is>
      </c>
    </row>
    <row r="57">
      <c r="A57" s="20" t="inlineStr">
        <is>
          <t>Q156</t>
        </is>
      </c>
      <c r="B57" s="20" t="inlineStr">
        <is>
          <t>Part 7</t>
        </is>
      </c>
      <c r="C57" s="20" t="inlineStr">
        <is>
          <t>B</t>
        </is>
      </c>
      <c r="D57" s="21" t="inlineStr">
        <is>
          <t>[지문/문장 분석]
BOOKING CONFIRMATION
Grand Plaza Hotel &amp; Conference Center
Reservation ID: GP-88421
Guest Name: Arthur Pendelton, Vertex BioSciences
Event Date: November 18, 2026
Booking Summary:
• Meeting Space: The Regent Ballroom (Hall B)
• Time: 8:00 A.M. – 5:00 P.M.
• Expected Attendance: 85 attendees
• Room Setup: Classroom style with center aisle
• Audiovisual Package: Dual ceiling projectors, wireless microphones, podium with laptop HDMI connection
Catering Details:
• Morning Coffee Service (8:30 A.M.): Freshly brewed coffee, herbal teas, fruit pastries
• Executive Buffet Lunch (12:30 P.M.): Grilled salmon, vegetarian lasagna, mixed garden salads
Payment Status:
A 20% non-refundable deposit of $600.00 was charged to your credit card ending in 4019. The remaining balance of $2,400.00 will be due upon check-in on the morning of the event.
Cancellation Policy:
Cancellations made less than 7 business days prior to the event will be billed for 50% of the total event cost.</t>
        </is>
      </c>
      <c r="E57" s="21" t="inlineStr">
        <is>
          <t>[정답 분석] 'Morning Coffee Service (8:30 A.M.)'이라고 명시되어 있습니다.</t>
        </is>
      </c>
      <c r="F57" s="21" t="inlineStr">
        <is>
          <t>[정답 도출 팁] 정답 (B)번 근거 및 오답 소거 확인</t>
        </is>
      </c>
      <c r="G57" s="21" t="inlineStr">
        <is>
          <t>reservation(예약); freshly brewed(신선하게 내린)</t>
        </is>
      </c>
    </row>
    <row r="58">
      <c r="A58" s="17" t="inlineStr">
        <is>
          <t>Q157</t>
        </is>
      </c>
      <c r="B58" s="17" t="inlineStr">
        <is>
          <t>Part 7</t>
        </is>
      </c>
      <c r="C58" s="17" t="inlineStr">
        <is>
          <t>C</t>
        </is>
      </c>
      <c r="D58" s="18" t="inlineStr">
        <is>
          <t>[지문/문장 분석]
BOOKING CONFIRMATION
Grand Plaza Hotel &amp; Conference Center
Reservation ID: GP-88421
Guest Name: Arthur Pendelton, Vertex BioSciences
Event Date: November 18, 2026
Booking Summary:
• Meeting Space: The Regent Ballroom (Hall B)
• Time: 8:00 A.M. – 5:00 P.M.
• Expected Attendance: 85 attendees
• Room Setup: Classroom style with center aisle
• Audiovisual Package: Dual ceiling projectors, wireless microphones, podium with laptop HDMI connection
Catering Details:
• Morning Coffee Service (8:30 A.M.): Freshly brewed coffee, herbal teas, fruit pastries
• Executive Buffet Lunch (12:30 P.M.): Grilled salmon, vegetarian lasagna, mixed garden salads
Payment Status:
A 20% non-refundable deposit of $600.00 was charged to your credit card ending in 4019. The remaining balance of $2,400.00 will be due upon check-in on the morning of the event.
Cancellation Policy:
Cancellations made less than 7 business days prior to the event will be billed for 50% of the total event cost.</t>
        </is>
      </c>
      <c r="E58" s="18" t="inlineStr">
        <is>
          <t>[정답 분석] 'The remaining balance of $2,400.00 will be due upon check-in on the morning of the event'라고 밝혔습니다.</t>
        </is>
      </c>
      <c r="F58" s="18" t="inlineStr">
        <is>
          <t>[정답 도출 팁] 정답 (C)번 근거 및 오답 소거 확인</t>
        </is>
      </c>
      <c r="G58" s="18" t="inlineStr">
        <is>
          <t>remaining balance(잔액); non-refundable deposit(환불 불가 계약금)</t>
        </is>
      </c>
    </row>
    <row r="59">
      <c r="A59" s="20" t="inlineStr">
        <is>
          <t>Q158</t>
        </is>
      </c>
      <c r="B59" s="20" t="inlineStr">
        <is>
          <t>Part 7</t>
        </is>
      </c>
      <c r="C59" s="20" t="inlineStr">
        <is>
          <t>A</t>
        </is>
      </c>
      <c r="D59" s="21" t="inlineStr">
        <is>
          <t>[지문/문장 분석]
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E59" s="21" t="inlineStr">
        <is>
          <t>[정답 분석] 보증 기간, 적용 대상, 제외 항목, 서비스 신청 절차를 설명하고 있으므로 보증 규정 및 수리 절차 안내인 (A)가 정답입니다.</t>
        </is>
      </c>
      <c r="F59" s="21" t="inlineStr">
        <is>
          <t>[정답 도출 팁] 정답 (A)번 근거 및 오답 소거 확인</t>
        </is>
      </c>
      <c r="G59" s="21" t="inlineStr">
        <is>
          <t>warranty coverage(보증 범위); manufacturer defect(제조 결함)</t>
        </is>
      </c>
    </row>
    <row r="60">
      <c r="A60" s="17" t="inlineStr">
        <is>
          <t>Q159</t>
        </is>
      </c>
      <c r="B60" s="17" t="inlineStr">
        <is>
          <t>Part 7</t>
        </is>
      </c>
      <c r="C60" s="17" t="inlineStr">
        <is>
          <t>B</t>
        </is>
      </c>
      <c r="D60" s="18" t="inlineStr">
        <is>
          <t>[지문/문장 분석]
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E60" s="18" t="inlineStr">
        <is>
          <t>[정답 분석] Exclusions 1번에 'Cosmetic damage resulting from normal wear and tear, including scratches'라고 명시되어 있습니다.</t>
        </is>
      </c>
      <c r="F60" s="18" t="inlineStr">
        <is>
          <t>[정답 도출 팁] 정답 (B)번 근거 및 오답 소거 확인</t>
        </is>
      </c>
      <c r="G60" s="18" t="inlineStr">
        <is>
          <t>cosmetic damage(외관상 손상); wear and tear(마모); scratches(흠집)</t>
        </is>
      </c>
    </row>
    <row r="61">
      <c r="A61" s="20" t="inlineStr">
        <is>
          <t>Q160</t>
        </is>
      </c>
      <c r="B61" s="20" t="inlineStr">
        <is>
          <t>Part 7</t>
        </is>
      </c>
      <c r="C61" s="20" t="inlineStr">
        <is>
          <t>B</t>
        </is>
      </c>
      <c r="D61" s="21" t="inlineStr">
        <is>
          <t>[지문/문장 분석]
LUMINA AUDIO SYSTEMS: LIMITED ONE-YEAR WARRANTY
Lumina Audio warrants all consumer electronics against manufacturer defects in materials and craftsmanship for a period of one (1) year from the original retail purchase date.
Warranty Coverage:
This warranty covers free replacement of malfunctioning hardware components, factory software recalibration, and return shipping costs within the continental United States.
Exclusions:
This warranty does not cover:
1. Cosmetic damage resulting from normal wear and tear, including scratches and dents.
2. Damage caused by unauthorized repairs, water submersion, or drops onto hard surfaces.
3. Consumable parts such as charging cables and ear tips after 90 days from purchase.
How to Obtain Warranty Service:
1. Visit www.luminaaudio.com/support and submit a Warranty Service Claim.
2. Provide your serial number, proof of purchase (sales receipt), and a brief description of the defect.
3. Upon approval, you will receive a prepaid shipping label via email. Pack the item securely and ship it to our regional repair depot in Chicago.</t>
        </is>
      </c>
      <c r="E61" s="21" t="inlineStr">
        <is>
          <t>[정답 분석] 'Upon approval, you will receive a prepaid shipping label via email'이라고 명시되어 있습니다.</t>
        </is>
      </c>
      <c r="F61" s="21" t="inlineStr">
        <is>
          <t>[정답 도출 팁] 정답 (B)번 근거 및 오답 소거 확인</t>
        </is>
      </c>
      <c r="G61" s="21" t="inlineStr">
        <is>
          <t>prepaid shipping label(선불 배송 라벨); regional repair depot(지역 수리 센터)</t>
        </is>
      </c>
    </row>
    <row r="62">
      <c r="A62" s="17" t="inlineStr">
        <is>
          <t>Q161</t>
        </is>
      </c>
      <c r="B62" s="17" t="inlineStr">
        <is>
          <t>Part 7</t>
        </is>
      </c>
      <c r="C62" s="17" t="inlineStr">
        <is>
          <t>B</t>
        </is>
      </c>
      <c r="D62" s="18" t="inlineStr">
        <is>
          <t>[지문/문장 분석]
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E62" s="18" t="inlineStr">
        <is>
          <t>[정답 분석] CleanVolt라는 친환경 배터리 스타트업이 4,500만 달러 규모의 투자를 유치했다는 기사입니다.</t>
        </is>
      </c>
      <c r="F62" s="18" t="inlineStr">
        <is>
          <t>[정답 도출 팁] 정답 (B)번 근거 및 오답 소거 확인</t>
        </is>
      </c>
      <c r="G62" s="18" t="inlineStr">
        <is>
          <t>secure funding(자금을 확보하다); clean energy(청정 에너지)</t>
        </is>
      </c>
    </row>
    <row r="63">
      <c r="A63" s="20" t="inlineStr">
        <is>
          <t>Q162</t>
        </is>
      </c>
      <c r="B63" s="20" t="inlineStr">
        <is>
          <t>Part 7</t>
        </is>
      </c>
      <c r="C63" s="20" t="inlineStr">
        <is>
          <t>B</t>
        </is>
      </c>
      <c r="D63" s="21" t="inlineStr">
        <is>
          <t>[지문/문장 분석]
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E63" s="21" t="inlineStr">
        <is>
          <t>[정답 분석] 'primarily finance the construction of CleanVolt's second manufacturing gigafactory in Round Rock'라고 밝혔습니다.</t>
        </is>
      </c>
      <c r="F63" s="21" t="inlineStr">
        <is>
          <t>[정답 도출 팁] 정답 (B)번 근거 및 오답 소거 확인</t>
        </is>
      </c>
      <c r="G63" s="21" t="inlineStr">
        <is>
          <t>capital injection(자본 투입); production capacity(생산 능력)</t>
        </is>
      </c>
    </row>
    <row r="64">
      <c r="A64" s="17" t="inlineStr">
        <is>
          <t>Q163</t>
        </is>
      </c>
      <c r="B64" s="17" t="inlineStr">
        <is>
          <t>Part 7</t>
        </is>
      </c>
      <c r="C64" s="17" t="inlineStr">
        <is>
          <t>B</t>
        </is>
      </c>
      <c r="D64" s="18" t="inlineStr">
        <is>
          <t>[지문/문장 분석]
AUSTIN BUSINESS CHRONICLE
CleanVolt Secures $45 Million in Series B Funding to Expand Battery Storage Production
By Daniel Gallagher
AUSTIN — CleanVolt Energy, a promising green technology startup founded in 2022, announced on Tuesday that it has finalized a $45 million Series B financing round led by Horizon Ventures, with additional participation from Texas Green Capital.
The capital injection will primarily finance the construction of CleanVolt's second manufacturing gigafactory in Round Rock, Texas. The new 180,000-square-foot facility is projected to triple the company's production capacity for commercial grid battery storage systems by late 2027.
"Commercial demand for reliable, large-scale battery storage has surged dramatically as corporations transition toward renewable solar and wind energy," stated CleanVolt founder and CEO Dr. Maya Patel. "This investment accelerates our mission to provide scalable, zero-emission energy storage."
In addition to expanding production, CleanVolt plans to hire approximately 160 engineers, technicians, and assembly specialists over the next eighteen months. The Round Rock municipal council has granted the company a ten-year property tax abatement in exchange for the local job creation commitment.</t>
        </is>
      </c>
      <c r="E64" s="18" t="inlineStr">
        <is>
          <t>[정답 분석] 마지막 문장에서 'The Round Rock municipal council has granted the company a ten-year property tax abatement'라고 밝혔습니다.</t>
        </is>
      </c>
      <c r="F64" s="18" t="inlineStr">
        <is>
          <t>[정답 도출 팁] 정답 (B)번 근거 및 오답 소거 확인</t>
        </is>
      </c>
      <c r="G64" s="18" t="inlineStr">
        <is>
          <t>property tax abatement(재산세 감면); municipal council(시의회)</t>
        </is>
      </c>
    </row>
    <row r="65">
      <c r="A65" s="20" t="inlineStr">
        <is>
          <t>Q164</t>
        </is>
      </c>
      <c r="B65" s="20" t="inlineStr">
        <is>
          <t>Part 7</t>
        </is>
      </c>
      <c r="C65" s="20" t="inlineStr">
        <is>
          <t>B</t>
        </is>
      </c>
      <c r="D65" s="21" t="inlineStr">
        <is>
          <t>[지문/문장 분석]
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E65" s="21" t="inlineStr">
        <is>
          <t>[정답 분석] 소프트웨어 베타 론칭을 앞두고 부하 테스트 결과 및 결제 게이트웨이 오류 수정을 논의하고 있습니다.</t>
        </is>
      </c>
      <c r="F65" s="21" t="inlineStr">
        <is>
          <t>[정답 도출 팁] 정답 (B)번 근거 및 오답 소거 확인</t>
        </is>
      </c>
      <c r="G65" s="21" t="inlineStr">
        <is>
          <t>beta launch(베타 출시); load testing(부하 테스트); readiness(준비 상태)</t>
        </is>
      </c>
    </row>
    <row r="66">
      <c r="A66" s="17" t="inlineStr">
        <is>
          <t>Q165</t>
        </is>
      </c>
      <c r="B66" s="17" t="inlineStr">
        <is>
          <t>Part 7</t>
        </is>
      </c>
      <c r="C66" s="17" t="inlineStr">
        <is>
          <t>B</t>
        </is>
      </c>
      <c r="D66" s="18" t="inlineStr">
        <is>
          <t>[지문/문장 분석]
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E66" s="18" t="inlineStr">
        <is>
          <t>[정답 분석] 'automated payment gateway threw intermittent timeout errors during checkout'라고 문제를 보고했습니다.</t>
        </is>
      </c>
      <c r="F66" s="18" t="inlineStr">
        <is>
          <t>[정답 도출 팁] 정답 (B)번 근거 및 오답 소거 확인</t>
        </is>
      </c>
      <c r="G66" s="18" t="inlineStr">
        <is>
          <t>payment gateway(결제 게이트웨이); timeout error(시간 초과 오류)</t>
        </is>
      </c>
    </row>
    <row r="67">
      <c r="A67" s="20" t="inlineStr">
        <is>
          <t>Q166</t>
        </is>
      </c>
      <c r="B67" s="20" t="inlineStr">
        <is>
          <t>Part 7</t>
        </is>
      </c>
      <c r="C67" s="20" t="inlineStr">
        <is>
          <t>B</t>
        </is>
      </c>
      <c r="D67" s="21" t="inlineStr">
        <is>
          <t>[지문/문장 분석]
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E67" s="21" t="inlineStr">
        <is>
          <t>[정답 분석] Sarah가 'We expect to push the hotfix to the staging environment by 4:15 P.M.'이라고 명시했습니다.</t>
        </is>
      </c>
      <c r="F67" s="21" t="inlineStr">
        <is>
          <t>[정답 도출 팁] 정답 (B)번 근거 및 오답 소거 확인</t>
        </is>
      </c>
      <c r="G67" s="21" t="inlineStr">
        <is>
          <t>hotfix(긴급 패치/수정본); staging environment(스테이징 테스트 환경)</t>
        </is>
      </c>
    </row>
    <row r="68">
      <c r="A68" s="17" t="inlineStr">
        <is>
          <t>Q167</t>
        </is>
      </c>
      <c r="B68" s="17" t="inlineStr">
        <is>
          <t>Part 7</t>
        </is>
      </c>
      <c r="C68" s="17" t="inlineStr">
        <is>
          <t>B</t>
        </is>
      </c>
      <c r="D68" s="18" t="inlineStr">
        <is>
          <t>[지문/문장 분석]
PROJECT ALPHA ONLINE CHAT
Evelyn Wong [2:15 P.M.]:
Team, we need to finalize the schedule for next week's software beta launch. Has QA completed the load testing on server cluster 3?
Jason Miller [2:17 P.M.]:
We ran tests all morning. The database handled 50,000 simulated concurrent users without latency spikes. However, the automated payment gateway threw intermittent timeout errors during checkout simulations.
Evelyn Wong [2:18 P.M.]:
That's unacceptable for launch. We can't have customers experiencing transaction errors. Sarah, can your development team patch that API integration before 5:00 P.M. today?
Sarah Jenkins [2:20 P.M.]:
The issue stems from a third-party token verification delay. My team is writing an asynchronous retry handler right now. We expect to push the hotfix to the staging environment by 4:15 P.M.
Jason Miller [2:22 P.M.]:
Great. Once Sarah pushes the fix, QA will re-run the stress test overnight.
Evelyn Wong [2:23 P.M.]:
Perfect. Let's reconvene on Zoom tomorrow at 9:00 A.M. to review the overnight results.</t>
        </is>
      </c>
      <c r="E68" s="18" t="inlineStr">
        <is>
          <t>[정답 분석] Evelyn이 'Let's reconvene on Zoom tomorrow at 9:00 A.M. to review the overnight results'라고 회의를 소집했습니다.</t>
        </is>
      </c>
      <c r="F68" s="18" t="inlineStr">
        <is>
          <t>[정답 도출 팁] 정답 (B)번 근거 및 오답 소거 확인</t>
        </is>
      </c>
      <c r="G68" s="18" t="inlineStr">
        <is>
          <t>reconvene(다시 모이다); overnight results(밤샘 테스트 결과)</t>
        </is>
      </c>
    </row>
    <row r="69">
      <c r="A69" s="20" t="inlineStr">
        <is>
          <t>Q168</t>
        </is>
      </c>
      <c r="B69" s="20" t="inlineStr">
        <is>
          <t>Part 7</t>
        </is>
      </c>
      <c r="C69" s="20" t="inlineStr">
        <is>
          <t>B</t>
        </is>
      </c>
      <c r="D69" s="21" t="inlineStr">
        <is>
          <t>[지문/문장 분석]
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E69" s="21" t="inlineStr">
        <is>
          <t>[정답 분석] 'Pinnacle Global is proud to recognize our Denver regional office as Branch of the Quarter!'라고 명시되어 있습니다.</t>
        </is>
      </c>
      <c r="F69" s="21" t="inlineStr">
        <is>
          <t>[정답 도출 팁] 정답 (B)번 근거 및 오답 소거 확인</t>
        </is>
      </c>
      <c r="G69" s="21" t="inlineStr">
        <is>
          <t>branch of the quarter(분기 최우수 지사); surpass target(목표를 능가하다)</t>
        </is>
      </c>
    </row>
    <row r="70">
      <c r="A70" s="17" t="inlineStr">
        <is>
          <t>Q169</t>
        </is>
      </c>
      <c r="B70" s="17" t="inlineStr">
        <is>
          <t>Part 7</t>
        </is>
      </c>
      <c r="C70" s="17" t="inlineStr">
        <is>
          <t>B</t>
        </is>
      </c>
      <c r="D70" s="18" t="inlineStr">
        <is>
          <t>[지문/문장 분석]
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E70" s="18" t="inlineStr">
        <is>
          <t>[정답 분석] 'reduced average client deployment time from 14 days to just 5 days'라고 명시되어 있습니다.</t>
        </is>
      </c>
      <c r="F70" s="18" t="inlineStr">
        <is>
          <t>[정답 도출 팁] 정답 (B)번 근거 및 오답 소거 확인</t>
        </is>
      </c>
      <c r="G70" s="18" t="inlineStr">
        <is>
          <t>deployment time(도입/설치 소요 시간); streamline(간소화/효율화하다)</t>
        </is>
      </c>
    </row>
    <row r="71">
      <c r="A71" s="20" t="inlineStr">
        <is>
          <t>Q170</t>
        </is>
      </c>
      <c r="B71" s="20" t="inlineStr">
        <is>
          <t>Part 7</t>
        </is>
      </c>
      <c r="C71" s="20" t="inlineStr">
        <is>
          <t>B</t>
        </is>
      </c>
      <c r="D71" s="21" t="inlineStr">
        <is>
          <t>[지문/문장 분석]
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E71" s="21" t="inlineStr">
        <is>
          <t>[정답 분석] 'mentoring high school students in computer coding and robotics'라고 밝혔습니다.</t>
        </is>
      </c>
      <c r="F71" s="21" t="inlineStr">
        <is>
          <t>[정답 도출 팁] 정답 (B)번 근거 및 오답 소거 확인</t>
        </is>
      </c>
      <c r="G71" s="21" t="inlineStr">
        <is>
          <t>civic responsibility(시민적 책임); volunteer(봉사하다)</t>
        </is>
      </c>
    </row>
    <row r="72">
      <c r="A72" s="17" t="inlineStr">
        <is>
          <t>Q171</t>
        </is>
      </c>
      <c r="B72" s="17" t="inlineStr">
        <is>
          <t>Part 7</t>
        </is>
      </c>
      <c r="C72" s="17" t="inlineStr">
        <is>
          <t>B</t>
        </is>
      </c>
      <c r="D72" s="18" t="inlineStr">
        <is>
          <t>[지문/문장 분석]
THE PINNACLE DISPATCH — INTERNAL STAFF NEWSLETTER
Issue 44 | November Edition
BRANCH OF THE QUARTER: DENVER TECH SERVICES
Pinnacle Global is proud to recognize our Denver regional office as Branch of the Quarter! Under the inspirational leadership of Branch General Manager Patrick Vance, the Denver team surpassed its annual client acquisition target three months ahead of schedule.
A Culture of Innovation:
Earlier this year, the Denver office piloted an innovative client onboarding protocol called 'ExpressDeploy.' By streamlining network hardware setup and providing customized video tutorials, the branch reduced average client deployment time from 14 days to just 5 days. Client satisfaction ratings subsequently skyrocketed to an industry-leading 98.4%.
Community Commitment:
Beyond commercial success, the Denver team demonstrated outstanding civic responsibility. Over the summer, employees collectively volunteered more than 300 hours at the Mile High Youth STEM Academy, mentoring high school students in computer coding and robotics.
Celebration Event:
In honor of their remarkable achievements, executive leadership will host an appreciation luncheon for all Denver staff at the Grand View Ballroom on Friday, November 21. Each employee will also receive a commemorative plaque and an additional day of paid personal leave.</t>
        </is>
      </c>
      <c r="E72" s="18" t="inlineStr">
        <is>
          <t>[정답 분석] 'Each employee will also receive a commemorative plaque and an additional day of paid personal leave'라고 보상 내용을 밝혔습니다.</t>
        </is>
      </c>
      <c r="F72" s="18" t="inlineStr">
        <is>
          <t>[정답 도출 팁] 정답 (B)번 근거 및 오답 소거 확인</t>
        </is>
      </c>
      <c r="G72" s="18" t="inlineStr">
        <is>
          <t>commemorative plaque(기념패); paid personal leave(유급 개인 휴가)</t>
        </is>
      </c>
    </row>
    <row r="73">
      <c r="A73" s="20" t="inlineStr">
        <is>
          <t>Q172</t>
        </is>
      </c>
      <c r="B73" s="20" t="inlineStr">
        <is>
          <t>Part 7</t>
        </is>
      </c>
      <c r="C73" s="20" t="inlineStr">
        <is>
          <t>B</t>
        </is>
      </c>
      <c r="D73" s="21" t="inlineStr">
        <is>
          <t>[지문/문장 분석]
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E73" s="21" t="inlineStr">
        <is>
          <t>[정답 분석] 10:30 A.M. Hall B에 'Smart Glass and Energy Efficiency in Commercial Skyscrapers'가 배정되어 있습니다.</t>
        </is>
      </c>
      <c r="F73" s="21" t="inlineStr">
        <is>
          <t>[정답 도출 팁] 정답 (B)번 근거 및 오답 소거 확인</t>
        </is>
      </c>
      <c r="G73" s="21" t="inlineStr">
        <is>
          <t>convention center(컨벤션 센터); energy efficiency(에너지 효율)</t>
        </is>
      </c>
    </row>
    <row r="74">
      <c r="A74" s="17" t="inlineStr">
        <is>
          <t>Q173</t>
        </is>
      </c>
      <c r="B74" s="17" t="inlineStr">
        <is>
          <t>Part 7</t>
        </is>
      </c>
      <c r="C74" s="17" t="inlineStr">
        <is>
          <t>B</t>
        </is>
      </c>
      <c r="D74" s="18" t="inlineStr">
        <is>
          <t>[지문/문장 분석]
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E74" s="18" t="inlineStr">
        <is>
          <t>[정답 분석] 패널 토론 설명에 'reduce air conditioning loads by up to 35%'라고 명시되어 있습니다.</t>
        </is>
      </c>
      <c r="F74" s="18" t="inlineStr">
        <is>
          <t>[정답 도출 팁] 정답 (B)번 근거 및 오답 소거 확인</t>
        </is>
      </c>
      <c r="G74" s="18" t="inlineStr">
        <is>
          <t>air conditioning load(냉방 부하); electrochromic glass(전기 변색 스마트 유리)</t>
        </is>
      </c>
    </row>
    <row r="75">
      <c r="A75" s="20" t="inlineStr">
        <is>
          <t>Q174</t>
        </is>
      </c>
      <c r="B75" s="20" t="inlineStr">
        <is>
          <t>Part 7</t>
        </is>
      </c>
      <c r="C75" s="20" t="inlineStr">
        <is>
          <t>B</t>
        </is>
      </c>
      <c r="D75" s="21" t="inlineStr">
        <is>
          <t>[지문/문장 분석]
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E75" s="21" t="inlineStr">
        <is>
          <t>[정답 분석] Samuel Briggs 세션 설명에 'Hands-on demonstration of 3D-modeled pre-cast concrete modules and on-site assembly'라고 나와 있습니다.</t>
        </is>
      </c>
      <c r="F75" s="21" t="inlineStr">
        <is>
          <t>[정답 도출 팁] 정답 (B)번 근거 및 오답 소거 확인</t>
        </is>
      </c>
      <c r="G75" s="21" t="inlineStr">
        <is>
          <t>modular construction(모듈러 건축); pre-cast concrete(프리캐스트 콘크리트)</t>
        </is>
      </c>
    </row>
    <row r="76">
      <c r="A76" s="17" t="inlineStr">
        <is>
          <t>Q175</t>
        </is>
      </c>
      <c r="B76" s="17" t="inlineStr">
        <is>
          <t>Part 7</t>
        </is>
      </c>
      <c r="C76" s="17" t="inlineStr">
        <is>
          <t>A</t>
        </is>
      </c>
      <c r="D76" s="18" t="inlineStr">
        <is>
          <t>[지문/문장 분석]
PACIFIC ARCHITECTURE &amp; URBAN DESIGN SUMMIT
Date: October 24, 2026 | Location: Seattle Convention Center
SCHEDULE OF SESSIONS:
9:00 A.M. – 10:15 A.M. | Hall A
Opening Keynote: 'Designing for Climate Resilience in Coastal Cities'
Speaker: Elena Moreau, Chief Architect, Studio Vitesse (Paris)
Description: Case studies on flood-resistant building foundations and marine-grade sustainable timber.
10:30 A.M. – 11:45 A.M. | Hall B
Panel Discussion: 'Smart Glass and Energy Efficiency in Commercial Skyscrapers'
Panelists: Marcus Sterling (Solaris Glass), Dr. Kenji Sato (Tokyo Institute of Technology)
Description: How electrochromic glass facades reduce air conditioning loads by up to 35%.
12:00 P.M. – 1:30 P.M. | Main Concourse
Networking Luncheon (Sponsored by Northwest Structural Engineering)
1:45 P.M. – 3:00 P.M. | Hall A
Technical Workshop: 'Prefabricated Modular Construction: Scaling Affordable Housing'
Speaker: Samuel Briggs, VP of Construction Innovation, Apex Modular
Description: Hands-on demonstration of 3D-modeled pre-cast concrete modules and on-site assembly techniques.
3:15 P.M. – 4:30 P.M. | Hall C
Interactive Seminar: 'Adaptive Reuse: Transforming Historic Industrial Mills into Modern Offices'
Speaker: Clara Higgins, Historic Preservation Consultant
Description: Navigating zoning codes and tax credits while preserving architectural heritage.</t>
        </is>
      </c>
      <c r="E76" s="18" t="inlineStr">
        <is>
          <t>[정답 분석] Clara Higgins의 세미나 제목이 'Adaptive Reuse: Transforming Historic Industrial Mills into Modern Offices'입니다.</t>
        </is>
      </c>
      <c r="F76" s="18" t="inlineStr">
        <is>
          <t>[정답 도출 팁] 정답 (A)번 근거 및 오답 소거 확인</t>
        </is>
      </c>
      <c r="G76" s="18" t="inlineStr">
        <is>
          <t>adaptive reuse(용도 변경/재활용); architectural heritage(건축 유산)</t>
        </is>
      </c>
    </row>
    <row r="77">
      <c r="A77" s="20" t="inlineStr">
        <is>
          <t>Q176</t>
        </is>
      </c>
      <c r="B77" s="20" t="inlineStr">
        <is>
          <t>Part 7</t>
        </is>
      </c>
      <c r="C77" s="20" t="inlineStr">
        <is>
          <t>B</t>
        </is>
      </c>
      <c r="D77" s="21" t="inlineStr">
        <is>
          <t>[지문/문장 분석]
[DOCUMENT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E77" s="21" t="inlineStr">
        <is>
          <t>[정답 분석] Rachel Vance의 이메일 첫 문장에서 'request a catering proposal for our annual corporate client appreciation gala'라고 밝혔습니다.</t>
        </is>
      </c>
      <c r="F77" s="21" t="inlineStr">
        <is>
          <t>[정답 도출 팁] 정답 (B)번 근거 및 오답 소거 확인</t>
        </is>
      </c>
      <c r="G77" s="21" t="inlineStr">
        <is>
          <t>catering proposal(출장 연회 제안서); gala(갈라/축제 행사)</t>
        </is>
      </c>
    </row>
    <row r="78">
      <c r="A78" s="17" t="inlineStr">
        <is>
          <t>Q177</t>
        </is>
      </c>
      <c r="B78" s="17" t="inlineStr">
        <is>
          <t>Part 7</t>
        </is>
      </c>
      <c r="C78" s="17" t="inlineStr">
        <is>
          <t>C</t>
        </is>
      </c>
      <c r="D78" s="18" t="inlineStr">
        <is>
          <t>[지문/문장 분석]
[DOCUMENT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E78" s="18" t="inlineStr">
        <is>
          <t>[정답 분석] 문서 1에서 'strictly gluten-free and vegetarian options'을 요청했고, 문서 2에서 Option C인 'Roasted butternut squash risotto (Vegetarian/Gluten-Free)'가 정확히 일치합니다.</t>
        </is>
      </c>
      <c r="F78" s="18" t="inlineStr">
        <is>
          <t>[정답 도출 팁] 정답 (C)번 근거 및 오답 소거 확인</t>
        </is>
      </c>
      <c r="G78" s="18" t="inlineStr">
        <is>
          <t>dietary needs(식이 요구사항); gluten-free(글루텐 프리)</t>
        </is>
      </c>
    </row>
    <row r="79">
      <c r="A79" s="20" t="inlineStr">
        <is>
          <t>Q178</t>
        </is>
      </c>
      <c r="B79" s="20" t="inlineStr">
        <is>
          <t>Part 7</t>
        </is>
      </c>
      <c r="C79" s="20" t="inlineStr">
        <is>
          <t>B</t>
        </is>
      </c>
      <c r="D79" s="21" t="inlineStr">
        <is>
          <t>[지문/문장 분석]
[DOCUMENT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E79" s="21" t="inlineStr">
        <is>
          <t>[정답 분석] 문서 2의 Service Personnel 항목에 '2 Certified Bartenders'라고 명시되어 있습니다.</t>
        </is>
      </c>
      <c r="F79" s="21" t="inlineStr">
        <is>
          <t>[정답 도출 팁] 정답 (B)번 근거 및 오답 소거 확인</t>
        </is>
      </c>
      <c r="G79" s="21" t="inlineStr">
        <is>
          <t>certified bartender(공인 바텐더); flat fee(정액 요금)</t>
        </is>
      </c>
    </row>
    <row r="80">
      <c r="A80" s="17" t="inlineStr">
        <is>
          <t>Q179</t>
        </is>
      </c>
      <c r="B80" s="17" t="inlineStr">
        <is>
          <t>Part 7</t>
        </is>
      </c>
      <c r="C80" s="17" t="inlineStr">
        <is>
          <t>C</t>
        </is>
      </c>
      <c r="D80" s="18" t="inlineStr">
        <is>
          <t>[지문/문장 분석]
[DOCUMENT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E80" s="18" t="inlineStr">
        <is>
          <t>[정답 분석] 문서 2 마지막 Special Incentive에서 'Confirm this booking and submit a 25% deposit by October 25 to receive complimentary dessert platters'라고 밝혔습니다.</t>
        </is>
      </c>
      <c r="F80" s="18" t="inlineStr">
        <is>
          <t>[정답 도출 팁] 정답 (C)번 근거 및 오답 소거 확인</t>
        </is>
      </c>
      <c r="G80" s="18" t="inlineStr">
        <is>
          <t>complimentary(무료의); deposit(보증금/계약금)</t>
        </is>
      </c>
    </row>
    <row r="81">
      <c r="A81" s="20" t="inlineStr">
        <is>
          <t>Q180</t>
        </is>
      </c>
      <c r="B81" s="20" t="inlineStr">
        <is>
          <t>Part 7</t>
        </is>
      </c>
      <c r="C81" s="20" t="inlineStr">
        <is>
          <t>C</t>
        </is>
      </c>
      <c r="D81" s="21" t="inlineStr">
        <is>
          <t>[지문/문장 분석]
[DOCUMENT 1: EMAIL]
To: events@savoryfeasts.com
From: r.vance@vancetech.com
Date: October 12
Subject: Catering Inquiry for Annual Client Gala
Dear Savory Feasts Team,
I am writing on behalf of Vance Technologies to request a catering proposal for our annual corporate client appreciation gala scheduled for Thursday, November 19. We anticipate approximately 120 guests attending the event at the Harborside Pavilion in Baltimore.
The reception will run from 6:30 P.M. to 9:30 P.M. We are interested in a hot and cold hors d'oeuvres service for the first hour, followed by a formal seated dinner. Several of our key executives require strictly gluten-free and vegetarian options. Additionally, we will need full bartending service including local craft beers and wine.
Please provide an itemized quote along with staffing and linen rental estimates at your earliest convenience.
Sincerely,
Rachel Vance, VP of Corporate Relations, Vance Technologies
--------------------------------------------------------------------------------
[DOCUMENT 2: CATERING QUOTATION]
SAVORY FEASTS CATERING &amp; EVENT DESIGN
Quotation #SF-7740 | Prepared For: Rachel Vance, Vance Technologies
Event Date: November 19 | Guest Count: 120
Package Selected: Executive Diamond Banquet Package
• Hors d'oeuvres (6:30 P.M. – 7:30 P.M.): Mini crab cakes, wild mushroom crostini, smoked duck skewers
• Entrée Selections:
  - Option A: Herb-crusted beef tenderloin with rosemary potatoes ($45/person)
  - Option B: Pan-seared sea bass with saffron risotto ($42/person)
  - Option C: Roasted butternut squash risotto with grilled asparagus (Vegetarian/Gluten-Free, $36/person)
• Beverage &amp; Bar Service: Premium 3-hour open bar ($22/person)
• Service Personnel: 1 Lead Event Coordinator, 6 Waitstaff, 2 Certified Bartenders ($1,200 flat fee)
• Linen &amp; Glassware Rental: Standard white satin linens and crystal glassware ($350 flat fee)
Special Incentive:
Confirm this booking and submit a 25% deposit by October 25 to receive complimentary dessert platters (valued at $480).</t>
        </is>
      </c>
      <c r="E81" s="21" t="inlineStr">
        <is>
          <t>[정답 분석] 문서 2에서 음료가 'Premium 3-hour open bar ($22/person)'이고 게스트 수가 120명이므로, 120 x $22 = $2,640입니다.</t>
        </is>
      </c>
      <c r="F81" s="21" t="inlineStr">
        <is>
          <t>[정답 도출 팁] 정답 (C)번 근거 및 오답 소거 확인</t>
        </is>
      </c>
      <c r="G81" s="21" t="inlineStr">
        <is>
          <t>beverage service(음료 서비스); open bar(무제한 주류 바)</t>
        </is>
      </c>
    </row>
    <row r="82">
      <c r="A82" s="17" t="inlineStr">
        <is>
          <t>Q181</t>
        </is>
      </c>
      <c r="B82" s="17" t="inlineStr">
        <is>
          <t>Part 7</t>
        </is>
      </c>
      <c r="C82" s="17" t="inlineStr">
        <is>
          <t>B</t>
        </is>
      </c>
      <c r="D82" s="18" t="inlineStr">
        <is>
          <t>[지문/문장 분석]
[DOCUMENT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E82" s="18" t="inlineStr">
        <is>
          <t>[정답 분석] 문서 1 제목에 'Position: Senior Investigative Journalist'라고 명시되어 있습니다.</t>
        </is>
      </c>
      <c r="F82" s="18" t="inlineStr">
        <is>
          <t>[정답 도출 팁] 정답 (B)번 근거 및 오답 소거 확인</t>
        </is>
      </c>
      <c r="G82" s="18" t="inlineStr">
        <is>
          <t>investigative journalist(탐사보도 기자); newsroom(보도국)</t>
        </is>
      </c>
    </row>
    <row r="83">
      <c r="A83" s="20" t="inlineStr">
        <is>
          <t>Q182</t>
        </is>
      </c>
      <c r="B83" s="20" t="inlineStr">
        <is>
          <t>Part 7</t>
        </is>
      </c>
      <c r="C83" s="20" t="inlineStr">
        <is>
          <t>B</t>
        </is>
      </c>
      <c r="D83" s="21" t="inlineStr">
        <is>
          <t>[지문/문장 분석]
[DOCUMENT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E83" s="21" t="inlineStr">
        <is>
          <t>[정답 분석] 문서 1 요건에 'Familiarity with data analysis tools (SQL or advanced Excel) is highly advantageous'라고 명시되어 있습니다.</t>
        </is>
      </c>
      <c r="F83" s="21" t="inlineStr">
        <is>
          <t>[정답 도출 팁] 정답 (B)번 근거 및 오답 소거 확인</t>
        </is>
      </c>
      <c r="G83" s="21" t="inlineStr">
        <is>
          <t>advantageous(유리한); data analysis tools(데이터 분석 도구)</t>
        </is>
      </c>
    </row>
    <row r="84">
      <c r="A84" s="17" t="inlineStr">
        <is>
          <t>Q183</t>
        </is>
      </c>
      <c r="B84" s="17" t="inlineStr">
        <is>
          <t>Part 7</t>
        </is>
      </c>
      <c r="C84" s="17" t="inlineStr">
        <is>
          <t>C</t>
        </is>
      </c>
      <c r="D84" s="18" t="inlineStr">
        <is>
          <t>[지문/문장 분석]
[DOCUMENT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E84" s="18" t="inlineStr">
        <is>
          <t>[정답 분석] 문서 1의 최소 경력 요건은 5년(Minimum 5 years)이고, 문서 2에서 Simon Bradley는 'With seven years of investigative reporting'이라고 밝혔으므로 요건을 2년 초과(exceeds)합니다.</t>
        </is>
      </c>
      <c r="F84" s="18" t="inlineStr">
        <is>
          <t>[정답 도출 팁] 정답 (C)번 근거 및 오답 소거 확인</t>
        </is>
      </c>
      <c r="G84" s="18" t="inlineStr">
        <is>
          <t>exceed the requirement(요건을 초과하다); tenure(재직 기간)</t>
        </is>
      </c>
    </row>
    <row r="85">
      <c r="A85" s="20" t="inlineStr">
        <is>
          <t>Q184</t>
        </is>
      </c>
      <c r="B85" s="20" t="inlineStr">
        <is>
          <t>Part 7</t>
        </is>
      </c>
      <c r="C85" s="20" t="inlineStr">
        <is>
          <t>B</t>
        </is>
      </c>
      <c r="D85" s="21" t="inlineStr">
        <is>
          <t>[지문/문장 분석]
[DOCUMENT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E85" s="21" t="inlineStr">
        <is>
          <t>[정답 분석] 문서 2에서 'investigative series exposing illegal chemical runoff into the Great Lakes'라고 취재 주제를 밝혔습니다.</t>
        </is>
      </c>
      <c r="F85" s="21" t="inlineStr">
        <is>
          <t>[정답 도출 팁] 정답 (B)번 근거 및 오답 소거 확인</t>
        </is>
      </c>
      <c r="G85" s="21" t="inlineStr">
        <is>
          <t>chemical runoff(화학물질 유출); legislative hearing(의회 청문회)</t>
        </is>
      </c>
    </row>
    <row r="86">
      <c r="A86" s="17" t="inlineStr">
        <is>
          <t>Q185</t>
        </is>
      </c>
      <c r="B86" s="17" t="inlineStr">
        <is>
          <t>Part 7</t>
        </is>
      </c>
      <c r="C86" s="17" t="inlineStr">
        <is>
          <t>B</t>
        </is>
      </c>
      <c r="D86" s="18" t="inlineStr">
        <is>
          <t>[지문/문장 분석]
[DOCUMENT 1: JOB ADVERTISEMENT]
HARBOR LIGHT MEDIA — CAREER OPPORTUNITY
Position: Senior Investigative Journalist
Location: Boston, MA
Harbor Light Media, an award-winning independent news magazine, is seeking an experienced Senior Investigative Journalist to join our national reporting desk.
Primary Duties:
• Research, investigate, and author in-depth analytical articles on environmental policy and corporate governance.
• Cultivate credible industry sources and analyze public financial disclosures.
• Collaborate with multimedia producers to develop accompanying podcasts and video mini-documentaries.
Requirements:
• Bachelor's or Master's degree in Journalism, English, or Political Science.
• Minimum 5 years of professional reporting experience at a metropolitan daily newspaper or national magazine.
• Demonstrable portfolio of published long-form investigative articles.
• Familiarity with data analysis tools (SQL or advanced Excel) is highly advantageous.
To apply: Email cover letter, resume, and three writing samples to recruitment@harborlightmedia.com.
--------------------------------------------------------------------------------
[DOCUMENT 2: COVER LETTER EMAIL]
To: recruitment@harborlightmedia.com
From: simon.bradley@journomail.com
Date: November 4
Subject: Application for Senior Investigative Journalist — Simon Bradley
Dear Hiring Committee,
I am writing to express my enthusiastic interest in the Senior Investigative Journalist opening at Harbor Light Media. With seven years of investigative reporting at the Chicago Herald and two national journalism excellence awards, I am confident in my ability to make an immediate impact on your newsroom.
During my tenure at the Herald, I led a four-part investigative series exposing illegal chemical runoff into the Great Lakes, which prompted state legislative hearings and corporate remediation. Furthermore, I routinely utilized advanced Excel and SQL database queries to uncover undisclosed campaign contributions.
I have attached my resume, three investigative feature clips, and letters of recommendation from my former editors. I look forward to the possibility of discussing how my reporting expertise aligns with Harbor Light Media's editorial mission.
Sincerely,
Simon Bradley</t>
        </is>
      </c>
      <c r="E86" s="18" t="inlineStr">
        <is>
          <t>[정답 분석] 문서 2 마지막 단락에서 'attached my resume, three investigative feature clips, and letters of recommendation'이라고 밝혔습니다.</t>
        </is>
      </c>
      <c r="F86" s="18" t="inlineStr">
        <is>
          <t>[정답 도출 팁] 정답 (B)번 근거 및 오답 소거 확인</t>
        </is>
      </c>
      <c r="G86" s="18" t="inlineStr">
        <is>
          <t>feature clips(기사 견본/스크랩); letters of recommendation(추천서)</t>
        </is>
      </c>
    </row>
    <row r="87">
      <c r="A87" s="20" t="inlineStr">
        <is>
          <t>Q186</t>
        </is>
      </c>
      <c r="B87" s="20" t="inlineStr">
        <is>
          <t>Part 7</t>
        </is>
      </c>
      <c r="C87" s="20" t="inlineStr">
        <is>
          <t>C</t>
        </is>
      </c>
      <c r="D87" s="21" t="inlineStr">
        <is>
          <t>[지문/문장 분석]
[DOCUMENT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E87" s="21" t="inlineStr">
        <is>
          <t>[정답 분석] 문서 1의 하단 노트와 문서 2 내역에 'General admission pass: $150'라고 명시되어 있습니다.</t>
        </is>
      </c>
      <c r="F87" s="21" t="inlineStr">
        <is>
          <t>[정답 도출 팁] 정답 (C)번 근거 및 오답 소거 확인</t>
        </is>
      </c>
      <c r="G87" s="21" t="inlineStr">
        <is>
          <t>general admission pass(일반 입장권); discount(할인)</t>
        </is>
      </c>
    </row>
    <row r="88">
      <c r="A88" s="17" t="inlineStr">
        <is>
          <t>Q187</t>
        </is>
      </c>
      <c r="B88" s="17" t="inlineStr">
        <is>
          <t>Part 7</t>
        </is>
      </c>
      <c r="C88" s="17" t="inlineStr">
        <is>
          <t>B</t>
        </is>
      </c>
      <c r="D88" s="18" t="inlineStr">
        <is>
          <t>[지문/문장 분석]
[DOCUMENT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E88" s="18" t="inlineStr">
        <is>
          <t>[정답 분석] 문서 2에서 Dr. Reyes가 선택한 첫 워크숍은 'Track 2'이고, 문서 1에서 Track 2는 11:00 A.M.에 시작합니다.</t>
        </is>
      </c>
      <c r="F88" s="18" t="inlineStr">
        <is>
          <t>[정답 도출 팁] 정답 (B)번 근거 및 오답 소거 확인</t>
        </is>
      </c>
      <c r="G88" s="18" t="inlineStr">
        <is>
          <t>diagnostic pathology(진단 병리학); resilience(회복력)</t>
        </is>
      </c>
    </row>
    <row r="89">
      <c r="A89" s="20" t="inlineStr">
        <is>
          <t>Q188</t>
        </is>
      </c>
      <c r="B89" s="20" t="inlineStr">
        <is>
          <t>Part 7</t>
        </is>
      </c>
      <c r="C89" s="20" t="inlineStr">
        <is>
          <t>B</t>
        </is>
      </c>
      <c r="D89" s="21" t="inlineStr">
        <is>
          <t>[지문/문장 분석]
[DOCUMENT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E89" s="21" t="inlineStr">
        <is>
          <t>[정답 분석] 문서 2 마지막 문장에서 'present this email... at the East Registration Desk upon arrival to collect your summit badge'라고 안내했습니다.</t>
        </is>
      </c>
      <c r="F89" s="21" t="inlineStr">
        <is>
          <t>[정답 도출 팁] 정답 (B)번 근거 및 오답 소거 확인</t>
        </is>
      </c>
      <c r="G89" s="21" t="inlineStr">
        <is>
          <t>registration desk(등록 데스크); collect badge(명찰을 수령하다)</t>
        </is>
      </c>
    </row>
    <row r="90">
      <c r="A90" s="17" t="inlineStr">
        <is>
          <t>Q189</t>
        </is>
      </c>
      <c r="B90" s="17" t="inlineStr">
        <is>
          <t>Part 7</t>
        </is>
      </c>
      <c r="C90" s="17" t="inlineStr">
        <is>
          <t>C</t>
        </is>
      </c>
      <c r="D90" s="18" t="inlineStr">
        <is>
          <t>[지문/문장 분석]
[DOCUMENT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E90" s="18" t="inlineStr">
        <is>
          <t>[정답 분석] 문서 3의 Workshop 2(Track 3) 평가에서 'the room was overcrowded, and several attendees had to stand because there were not enough chairs'라고 좌석 부족을 지적했습니다.</t>
        </is>
      </c>
      <c r="F90" s="18" t="inlineStr">
        <is>
          <t>[정답 도출 팁] 정답 (C)번 근거 및 오답 소거 확인</t>
        </is>
      </c>
      <c r="G90" s="18" t="inlineStr">
        <is>
          <t>overcrowded(너무 혼잡한); insufficient seating(좌석 부족)</t>
        </is>
      </c>
    </row>
    <row r="91">
      <c r="A91" s="20" t="inlineStr">
        <is>
          <t>Q190</t>
        </is>
      </c>
      <c r="B91" s="20" t="inlineStr">
        <is>
          <t>Part 7</t>
        </is>
      </c>
      <c r="C91" s="20" t="inlineStr">
        <is>
          <t>B</t>
        </is>
      </c>
      <c r="D91" s="21" t="inlineStr">
        <is>
          <t>[지문/문장 분석]
[DOCUMENT 1: WEBPAGE SCHEDULE]
PACIFIC BIO-TECH SUMMIT 2026 | SEATTLE CONVENTION CENTER
Workshop Schedule for Friday, November 6
• Track 1 (9:00 A.M. – 10:30 A.M.): Gene Editing in Crop Resilience (Fee: $75)
• Track 2 (11:00 A.M. – 12:30 P.M.): AI in Diagnostic Pathology (Fee: $90)
• Track 3 (2:00 P.M. – 3:30 P.M.): Cleanroom Protocols in Vaccine Manufacturing (Fee: $80)
• Track 4 (4:00 P.M. – 5:30 P.M.): Intellectual Property Strategy for Startups (Fee: $65)
Note: Attendees registering for two or more workshops receive a 10% discount on total workshop fees. General admission pass ($150) is required for all attendees.
--------------------------------------------------------------------------------
[DOCUMENT 2: CONFIRMATION EMAIL]
To: claudia.reyes@genexlabs.com
From: registration@pacificbiotechsummit.org
Date: October 20
Subject: Registration Confirmation — Pacific Bio-Tech Summit 2026
Dear Claudia Reyes,
Thank you for registering for the Pacific Bio-Tech Summit. Below is a summary of your registration:
• Attendee: Dr. Claudia Reyes, Senior Research Scientist, Genex Laboratories
• Badge ID: PTS-4091
• General Admission Pass: $150.00
• Selected Workshops:
  - Track 2: AI in Diagnostic Pathology ($90.00)
  - Track 3: Cleanroom Protocols in Vaccine Manufacturing ($80.00)
• Workshop Subtotal: $170.00
• Multi-Workshop Discount (10%): -$17.00
• Total Paid: $303.00
Please present this email on your mobile device at the East Registration Desk upon arrival to collect your summit badge and complimentary conference materials.
--------------------------------------------------------------------------------
[DOCUMENT 3: POST-EVENT SURVEY]
ATTENDEE FEEDBACK SURVEY
Attendee: Dr. Claudia Reyes | Date Submitted: November 8
1. Overall Event Satisfaction: 4 / 5 Stars
Comments: The networking luncheons were fantastic, and the speakers were world-class experts.
2. Workshop Evaluation:
• Workshop 1 (Track 2): Outstanding presentation by Dr. Harrison! The machine learning demonstration was remarkably clear and practical.
• Workshop 2 (Track 3): While the speaker was very knowledgeable, the room was overcrowded, and several attendees had to stand because there were not enough chairs. I recommend booking a larger room next year.
3. Would you attend the summit again next year?
Yes, definitely.</t>
        </is>
      </c>
      <c r="E91" s="21" t="inlineStr">
        <is>
          <t>[정답 분석] 문맥상 'Dr. Harrison의 탁월하고 뛰어난 발표(outstanding presentation)'를 의미하므로 (B) exceptional(뛰어난, 비범한)이 동의어입니다.</t>
        </is>
      </c>
      <c r="F91" s="21" t="inlineStr">
        <is>
          <t>[정답 도출 팁] 정답 (B)번 근거 및 오답 소거 확인</t>
        </is>
      </c>
      <c r="G91" s="21" t="inlineStr">
        <is>
          <t>outstanding(뛰어난, 눈에 띄는 = exceptional); practical(실용적인)</t>
        </is>
      </c>
    </row>
    <row r="92">
      <c r="A92" s="17" t="inlineStr">
        <is>
          <t>Q191</t>
        </is>
      </c>
      <c r="B92" s="17" t="inlineStr">
        <is>
          <t>Part 7</t>
        </is>
      </c>
      <c r="C92" s="17" t="inlineStr">
        <is>
          <t>A</t>
        </is>
      </c>
      <c r="D92" s="18" t="inlineStr">
        <is>
          <t>[지문/문장 분석]
[DOCUMENT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E92" s="18" t="inlineStr">
        <is>
          <t>[정답 분석] 문서 1 카탈로그에서 TW-405의 Unit Price는 $25.00입니다.</t>
        </is>
      </c>
      <c r="F92" s="18" t="inlineStr">
        <is>
          <t>[정답 도출 팁] 정답 (A)번 근거 및 오답 소거 확인</t>
        </is>
      </c>
      <c r="G92" s="18" t="inlineStr">
        <is>
          <t>work gloves(작업용 장갑); unit price(단가)</t>
        </is>
      </c>
    </row>
    <row r="93">
      <c r="A93" s="20" t="inlineStr">
        <is>
          <t>Q192</t>
        </is>
      </c>
      <c r="B93" s="20" t="inlineStr">
        <is>
          <t>Part 7</t>
        </is>
      </c>
      <c r="C93" s="20" t="inlineStr">
        <is>
          <t>B</t>
        </is>
      </c>
      <c r="D93" s="21" t="inlineStr">
        <is>
          <t>[지문/문장 분석]
[DOCUMENT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E93" s="21" t="inlineStr">
        <is>
          <t>[정답 분석] 문서 1에서 'free for orders exceeding $1,500'라고 규정했고, 문서 2에서 총 주문액이 $2,443.75로 $1,500을 넘었기 때문입니다.</t>
        </is>
      </c>
      <c r="F93" s="21" t="inlineStr">
        <is>
          <t>[정답 도출 팁] 정답 (B)번 근거 및 오답 소거 확인</t>
        </is>
      </c>
      <c r="G93" s="21" t="inlineStr">
        <is>
          <t>exceed(초과하다); flat rate(고정 요금)</t>
        </is>
      </c>
    </row>
    <row r="94">
      <c r="A94" s="17" t="inlineStr">
        <is>
          <t>Q193</t>
        </is>
      </c>
      <c r="B94" s="17" t="inlineStr">
        <is>
          <t>Part 7</t>
        </is>
      </c>
      <c r="C94" s="17" t="inlineStr">
        <is>
          <t>C</t>
        </is>
      </c>
      <c r="D94" s="18" t="inlineStr">
        <is>
          <t>[지문/문장 분석]
[DOCUMENT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E94" s="18" t="inlineStr">
        <is>
          <t>[정답 분석] 문서 3에서 'scheduled for delivery to your Columbus facility on Wednesday, October 21'이라고 명시되어 있습니다.</t>
        </is>
      </c>
      <c r="F94" s="18" t="inlineStr">
        <is>
          <t>[정답 도출 팁] 정답 (C)번 근거 및 오답 소거 확인</t>
        </is>
      </c>
      <c r="G94" s="18" t="inlineStr">
        <is>
          <t>initial shipment(최초 배송분); depart warehouse(창고에서 출고되다)</t>
        </is>
      </c>
    </row>
    <row r="95">
      <c r="A95" s="20" t="inlineStr">
        <is>
          <t>Q194</t>
        </is>
      </c>
      <c r="B95" s="20" t="inlineStr">
        <is>
          <t>Part 7</t>
        </is>
      </c>
      <c r="C95" s="20" t="inlineStr">
        <is>
          <t>A</t>
        </is>
      </c>
      <c r="D95" s="21" t="inlineStr">
        <is>
          <t>[지문/문장 분석]
[DOCUMENT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E95" s="21" t="inlineStr">
        <is>
          <t>[정답 분석] 문서 3에서 'inventory was short by five units for the TW-204 jackets... remaining 5 jackets have been backordered'라고 밝혔습니다.</t>
        </is>
      </c>
      <c r="F95" s="21" t="inlineStr">
        <is>
          <t>[정답 도출 팁] 정답 (A)번 근거 및 오답 소거 확인</t>
        </is>
      </c>
      <c r="G95" s="21" t="inlineStr">
        <is>
          <t>backorder(이월 주문/추후 배송 처리하다); inventory short(재고 부족)</t>
        </is>
      </c>
    </row>
    <row r="96">
      <c r="A96" s="17" t="inlineStr">
        <is>
          <t>Q195</t>
        </is>
      </c>
      <c r="B96" s="17" t="inlineStr">
        <is>
          <t>Part 7</t>
        </is>
      </c>
      <c r="C96" s="17" t="inlineStr">
        <is>
          <t>C</t>
        </is>
      </c>
      <c r="D96" s="18" t="inlineStr">
        <is>
          <t>[지문/문장 분석]
[DOCUMENT 1: PRODUCT CATALOG]
TITAN WORKWEAR &amp; INDUSTRIAL SUPPLY — AUTUMN CATALOG
Model | Product Description | Material | Unit Price
TW-101 | Heavy-Duty Canvas Work Pants | Reinforced Cotton | $55.00
TW-204 | High-Visibility Waterproof Jacket | Fluorescent Polyester | $85.00
TW-310 | Steel-Toe Safety Work Boots | Full-Grain Leather | $120.00
TW-405 | Kevlar Impact-Resistant Work Gloves | Composite Fiber | $25.00
Special Promotion: Bulk orders of 20 or more units of any single item receive a 15% item discount. Standard ground delivery is $45 flat rate, or free for orders exceeding $1,500.
--------------------------------------------------------------------------------
[DOCUMENT 2: PURCHASE ORDER]
PURCHASE ORDER #PO-9022
Buyer: Apex Infrastructure Ltd. (Contact: Nathan Cole)
Delivery Address: 1400 Industrial Parkway, Columbus, Ohio
Order Date: October 14
Item Model | Description | Quantity | Unit Price | Total
TW-204 | High-Visibility Waterproof Jacket (Size L) | 25 | $85.00 | $2,125.00
Item Bulk Discount (15% for 20+ units): -$318.75
TW-405 | Kevlar Impact-Resistant Gloves (Size L) | 30 | $25.00 | $750.00
Item Bulk Discount (15% for 20+ units): -$112.50
Subtotal: $2,443.75
Shipping Fee: $0.00 (Order exceeds $1,500)
Total Charged: $2,443.75
--------------------------------------------------------------------------------
[DOCUMENT 3: CUSTOMER SUPPORT EMAIL]
To: nathan.cole@apexinfra.com
From: support@titanworkwear.com
Date: October 19
Subject: Update Regarding Purchase Order #PO-9022
Dear Mr. Cole,
Thank you for your recent purchase from Titan Workwear. Your shipment departed our warehouse yesterday via FastFreight Express (Tracking #FX-88102) and is scheduled for delivery to your Columbus facility on Wednesday, October 21.
We would like to inform you that while all 30 pairs of the TW-405 Kevlar gloves were fulfilled in full, our warehouse inventory was short by five units for the TW-204 jackets. Consequently, Box 1 contains 20 jackets, and the remaining 5 jackets have been backordered. They will be dispatched via expedited overnight shipping on October 22 at no additional cost to you.
We apologize for this minor delay and have credited $50 toward your next catalog purchase.
Sincerely,
Maria Santos, Titan Customer Care</t>
        </is>
      </c>
      <c r="E96" s="18" t="inlineStr">
        <is>
          <t>[정답 분석] 문서 3 마지막 문장에서 'have credited $50 toward your next catalog purchase'라고 보상 조치를 밝혔습니다.</t>
        </is>
      </c>
      <c r="F96" s="18" t="inlineStr">
        <is>
          <t>[정답 도출 팁] 정답 (C)번 근거 및 오답 소거 확인</t>
        </is>
      </c>
      <c r="G96" s="18" t="inlineStr">
        <is>
          <t>credit toward next purchase(다음 구매 시 사용 가능한 적립금/크레딧 지급)</t>
        </is>
      </c>
    </row>
    <row r="97">
      <c r="A97" s="20" t="inlineStr">
        <is>
          <t>Q196</t>
        </is>
      </c>
      <c r="B97" s="20" t="inlineStr">
        <is>
          <t>Part 7</t>
        </is>
      </c>
      <c r="C97" s="20" t="inlineStr">
        <is>
          <t>B</t>
        </is>
      </c>
      <c r="D97" s="21" t="inlineStr">
        <is>
          <t>[지문/문장 분석]
[DOCUMENT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E97" s="21" t="inlineStr">
        <is>
          <t>[정답 분석] 문서 2에서 Derek Foster가 'moved into Suite 850 earlier this month'라고 밝혔고, 문서 1에서 Suite 850의 월 임대료(Monthly Rent)는 $12,500입니다.</t>
        </is>
      </c>
      <c r="F97" s="21" t="inlineStr">
        <is>
          <t>[정답 도출 팁] 정답 (B)번 근거 및 오답 소거 확인</t>
        </is>
      </c>
      <c r="G97" s="21" t="inlineStr">
        <is>
          <t>monthly rent(월 임대료); lease(임대하다)</t>
        </is>
      </c>
    </row>
    <row r="98">
      <c r="A98" s="17" t="inlineStr">
        <is>
          <t>Q197</t>
        </is>
      </c>
      <c r="B98" s="17" t="inlineStr">
        <is>
          <t>Part 7</t>
        </is>
      </c>
      <c r="C98" s="17" t="inlineStr">
        <is>
          <t>B</t>
        </is>
      </c>
      <c r="D98" s="18" t="inlineStr">
        <is>
          <t>[지문/문장 분석]
[DOCUMENT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E98" s="18" t="inlineStr">
        <is>
          <t>[정답 분석] 문서 1 편의시설 항목에 'Rooftop conference center with panoramic bay views'라고 명시되어 있습니다.</t>
        </is>
      </c>
      <c r="F98" s="18" t="inlineStr">
        <is>
          <t>[정답 도출 팁] 정답 (B)번 근거 및 오답 소거 확인</t>
        </is>
      </c>
      <c r="G98" s="18" t="inlineStr">
        <is>
          <t>amenities(부대 편의시설); panoramic bay view(탁 트인 만 전망)</t>
        </is>
      </c>
    </row>
    <row r="99">
      <c r="A99" s="20" t="inlineStr">
        <is>
          <t>Q198</t>
        </is>
      </c>
      <c r="B99" s="20" t="inlineStr">
        <is>
          <t>Part 7</t>
        </is>
      </c>
      <c r="C99" s="20" t="inlineStr">
        <is>
          <t>B</t>
        </is>
      </c>
      <c r="D99" s="21" t="inlineStr">
        <is>
          <t>[지문/문장 분석]
[DOCUMENT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E99" s="21" t="inlineStr">
        <is>
          <t>[정답 분석] 문서 2에서 'the central heating in our corner conference room does not seem to activate in the mornings, leaving the room uncomfortably cold'라고 난방 문제를 제기했습니다.</t>
        </is>
      </c>
      <c r="F99" s="21" t="inlineStr">
        <is>
          <t>[정답 도출 팁] 정답 (B)번 근거 및 오답 소거 확인</t>
        </is>
      </c>
      <c r="G99" s="21" t="inlineStr">
        <is>
          <t>central heating(중앙 난방); persistent issue(지속적인 문제)</t>
        </is>
      </c>
    </row>
    <row r="100">
      <c r="A100" s="17" t="inlineStr">
        <is>
          <t>Q199</t>
        </is>
      </c>
      <c r="B100" s="17" t="inlineStr">
        <is>
          <t>Part 7</t>
        </is>
      </c>
      <c r="C100" s="17" t="inlineStr">
        <is>
          <t>B</t>
        </is>
      </c>
      <c r="D100" s="18" t="inlineStr">
        <is>
          <t>[지문/문장 분석]
[DOCUMENT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E100" s="18" t="inlineStr">
        <is>
          <t>[정답 분석] 문서 3의 작업 노트에서 'Replaced thermostat unit and calibrated heating cycle'라고 수리 조치 내용을 설명했습니다.</t>
        </is>
      </c>
      <c r="F100" s="18" t="inlineStr">
        <is>
          <t>[정답 도출 팁] 정답 (B)번 근거 및 오답 소거 확인</t>
        </is>
      </c>
      <c r="G100" s="18" t="inlineStr">
        <is>
          <t>thermostat(온도 조절기); calibrate(보정/조정하다)</t>
        </is>
      </c>
    </row>
    <row r="101">
      <c r="A101" s="20" t="inlineStr">
        <is>
          <t>Q200</t>
        </is>
      </c>
      <c r="B101" s="20" t="inlineStr">
        <is>
          <t>Part 7</t>
        </is>
      </c>
      <c r="C101" s="20" t="inlineStr">
        <is>
          <t>B</t>
        </is>
      </c>
      <c r="D101" s="21" t="inlineStr">
        <is>
          <t>[지문/문장 분석]
[DOCUMENT 1: PROPERTY RENTAL ADVERTISEMENT]
METRO COMMERCIAL REAL ESTATE — PREMIER OFFICE SUITES
Property: The Zenith Tower | 500 Market Street, San Francisco
Suite | Floor | Size (sq ft) | Monthly Rent | Available Date
Suite 400 | 4th | 2,200 | $7,500 | Immediate
Suite 850 | 8th | 3,800 | $12,500 | November 1
Suite 1200 | 12th | 5,500 | $18,000 | December 15
Suite 1600 | 16th | 8,000 | $26,000 | January 1
Building Amenities:
• 24/7 security with keycard turnstile entry.
• On-site underground parking garage (reserved stalls: $250/month each).
• Rooftop conference center with panoramic bay views (available for tenant reservation).
• Fiber-optic high-speed internet infrastructure pre-wired in all suites.
Contact: leasing@zenithtower.com | (415) 555-0188
--------------------------------------------------------------------------------
[DOCUMENT 2: TENANT EMAIL]
To: management@zenithtower.com
From: derek.foster@lumencapital.com
Date: November 12
Subject: Maintenance and HVAC Concerns — Suite 850
Dear Building Management,
Our investment team moved into Suite 850 earlier this month, and overall we are delighted with the natural lighting and building facilities. However, we have experienced two persistent issues that require your urgent attention.
First, the central heating in our corner conference room does not seem to activate in the mornings, leaving the room uncomfortably cold until midday. Second, our employees have reported that the automatic sensor on the executive restroom door on the 8th floor frequently fails to unlock.
Given that we host frequent high-profile client consultations in this suite, we kindly ask that building engineering inspect both systems by tomorrow afternoon.
Thank you,
Derek Foster, Managing Director, Lumen Capital Partners
--------------------------------------------------------------------------------
[DOCUMENT 3: PROPERTY MANAGER WORK ORDER MEMO]
ZENITH TOWER BUILDING OPERATIONS — WORK ORDER #WO-314
Date: November 13
Assigned To: Gary Ortiz, Lead Facility Engineer
Location: Suite 850 (Tenant: Lumen Capital Partners)
Resolution Notes:
• Heating System: Inspected digital thermostat sensor in corner conference room at 10:00 A.M. Found faulty circuit wiring. Replaced thermostat unit and calibrated heating cycle. Temperature verified at comfortable 71°F.
• Restroom Sensor: Tested optical door sensor on 8th-floor executive restroom. Cleaned dust buildup on optical lens and replaced backup battery pack. Lock now opens smoothly upon keycard scan.
Follow-up Action:
Please send an email confirmation to tenant director Derek Foster informing him that both repairs were successfully completed before 1:00 P.M. today.</t>
        </is>
      </c>
      <c r="E101" s="21" t="inlineStr">
        <is>
          <t>[정답 분석] 문서 3에서 'Cleaned dust buildup on optical lens and replaced backup battery pack'라고 원인과 조치를 설명했습니다.</t>
        </is>
      </c>
      <c r="F101" s="21" t="inlineStr">
        <is>
          <t>[정답 도출 팁] 정답 (B)번 근거 및 오답 소거 확인</t>
        </is>
      </c>
      <c r="G101" s="21" t="inlineStr">
        <is>
          <t>dust buildup(먼지 축적); optical lens(광학 렌즈); backup battery pack(예비 배터리 팩)</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
  <sheetViews>
    <sheetView showGridLines="1" workbookViewId="0">
      <pane ySplit="1" topLeftCell="A2" activePane="bottomLeft" state="frozen"/>
      <selection pane="bottomLeft" activeCell="A1" sqref="A1"/>
    </sheetView>
  </sheetViews>
  <sheetFormatPr baseColWidth="8" defaultRowHeight="15"/>
  <cols>
    <col width="12" customWidth="1" min="1" max="1"/>
    <col width="15" customWidth="1" min="2" max="2"/>
    <col width="25" customWidth="1" min="3" max="3"/>
    <col width="42" customWidth="1" min="4" max="4"/>
    <col width="18" customWidth="1" min="5" max="5"/>
    <col width="18" customWidth="1" min="6" max="6"/>
    <col width="18" customWidth="1" min="7" max="7"/>
    <col width="18" customWidth="1" min="8" max="8"/>
    <col width="10" customWidth="1" min="9" max="9"/>
    <col width="45" customWidth="1" min="10" max="10"/>
    <col width="25" customWidth="1" min="11" max="11"/>
  </cols>
  <sheetData>
    <row r="1" ht="32" customHeight="1">
      <c r="A1" s="16" t="inlineStr">
        <is>
          <t>문항 번호</t>
        </is>
      </c>
      <c r="B1" s="16" t="inlineStr">
        <is>
          <t>파트 구분</t>
        </is>
      </c>
      <c r="C1" s="16" t="inlineStr">
        <is>
          <t>출제 카테고리</t>
        </is>
      </c>
      <c r="D1" s="16" t="inlineStr">
        <is>
          <t>고난도 킬러 문제 / 핵심 족보</t>
        </is>
      </c>
      <c r="E1" s="16" t="inlineStr">
        <is>
          <t>보기 (A)</t>
        </is>
      </c>
      <c r="F1" s="16" t="inlineStr">
        <is>
          <t>보기 (B)</t>
        </is>
      </c>
      <c r="G1" s="16" t="inlineStr">
        <is>
          <t>보기 (C)</t>
        </is>
      </c>
      <c r="H1" s="16" t="inlineStr">
        <is>
          <t>보기 (D)</t>
        </is>
      </c>
      <c r="I1" s="16" t="inlineStr">
        <is>
          <t>정답</t>
        </is>
      </c>
      <c r="J1" s="16" t="inlineStr">
        <is>
          <t>850점+ 달성 킬러 공식 해설</t>
        </is>
      </c>
      <c r="K1" s="16" t="inlineStr">
        <is>
          <t>실전 CBT 풀기</t>
        </is>
      </c>
    </row>
    <row r="2" ht="58" customHeight="1">
      <c r="A2" s="5" t="inlineStr">
        <is>
          <t>Q3</t>
        </is>
      </c>
      <c r="B2" s="5" t="inlineStr">
        <is>
          <t>Part 1</t>
        </is>
      </c>
      <c r="C2" s="6" t="inlineStr">
        <is>
          <t>Photographs (사물 상태/정물)</t>
        </is>
      </c>
      <c r="D2" s="6" t="inlineStr">
        <is>
          <t>Look at the picture marked Number 3 in your test book and choose the best statement.</t>
        </is>
      </c>
      <c r="E2" s="6" t="inlineStr">
        <is>
          <t>Chairs are arranged around a conference table.</t>
        </is>
      </c>
      <c r="F2" s="6" t="inlineStr">
        <is>
          <t>Some boxes are being unloaded from a truck.</t>
        </is>
      </c>
      <c r="G2" s="6" t="inlineStr">
        <is>
          <t>A presenter is speaking to an audience.</t>
        </is>
      </c>
      <c r="H2" s="6" t="inlineStr">
        <is>
          <t>The blinds have been pulled down over the windows.</t>
        </is>
      </c>
      <c r="I2" s="6" t="inlineStr">
        <is>
          <t>A</t>
        </is>
      </c>
      <c r="J2" s="5" t="inlineStr">
        <is>
          <t>[정답 분석] 사람이 없는 회의실 정물 사진으로, 탁자 주위에 의자가 정렬된 상태를 묘사한 (A) Chairs are arranged around a conference table이 정답입니다.
[오답 소거 (기출 킬러 공식)]
(B) 'being unloaded'처럼 사람이 없는데 'be being p.p.(진행형 수동)'가 나오면 99% 오답입니다!</t>
        </is>
      </c>
      <c r="K2" s="7">
        <f>HYPERLINK("https://srunaic.github.io/Korea_History_Exel_CBT_System/toeic_cbt.html?q=3#q3", "🔥 Q3번 킬러 풀기")</f>
        <v/>
      </c>
    </row>
    <row r="3" ht="58" customHeight="1">
      <c r="A3" s="5" t="inlineStr">
        <is>
          <t>Q8</t>
        </is>
      </c>
      <c r="B3" s="5" t="inlineStr">
        <is>
          <t>Part 2</t>
        </is>
      </c>
      <c r="C3" s="6" t="inlineStr">
        <is>
          <t>Question-Response (우회적/회피형 고난도 킬러)</t>
        </is>
      </c>
      <c r="D3" s="6" t="inlineStr">
        <is>
          <t>Mark your answer on your answer sheet: [Audio Only]</t>
        </is>
      </c>
      <c r="E3" s="6" t="inlineStr">
        <is>
          <t>(A) Ms. Patel is handling all client communications.</t>
        </is>
      </c>
      <c r="F3" s="6" t="inlineStr">
        <is>
          <t>(B) Yes, at the downtown law office.</t>
        </is>
      </c>
      <c r="G3" s="6" t="inlineStr">
        <is>
          <t>(C) Forty-five dollars per hour.</t>
        </is>
      </c>
      <c r="H3" s="6" t="inlineStr">
        <is>
          <t>N/A</t>
        </is>
      </c>
      <c r="I3" s="6" t="inlineStr">
        <is>
          <t>A</t>
        </is>
      </c>
      <c r="J3" s="5" t="inlineStr">
        <is>
          <t>[정답 분석 (토익 850+ 킬러 공식)]
'내가 잘 모르니 담당자에게 물어봐라 / 다른 사람이 처리하고 있다' 유형의 제3자 회피성 응답은 정기토익 100% 정답 족보입니다! (A)가 정답입니다.</t>
        </is>
      </c>
      <c r="K3" s="7">
        <f>HYPERLINK("https://srunaic.github.io/Korea_History_Exel_CBT_System/toeic_cbt.html?q=8#q8", "🔥 Q8번 킬러 풀기")</f>
        <v/>
      </c>
    </row>
    <row r="4" ht="58" customHeight="1">
      <c r="A4" s="5" t="inlineStr">
        <is>
          <t>Q14</t>
        </is>
      </c>
      <c r="B4" s="5" t="inlineStr">
        <is>
          <t>Part 5</t>
        </is>
      </c>
      <c r="C4" s="6" t="inlineStr">
        <is>
          <t>Grammar (전치사 vs 접속사)</t>
        </is>
      </c>
      <c r="D4" s="6" t="inlineStr">
        <is>
          <t>------- the unprecedented rise in overseas shipping fees, NEXIS Global managed to achieve record-high quarterly revenue.</t>
        </is>
      </c>
      <c r="E4" s="6" t="inlineStr">
        <is>
          <t>Despite</t>
        </is>
      </c>
      <c r="F4" s="6" t="inlineStr">
        <is>
          <t>Although</t>
        </is>
      </c>
      <c r="G4" s="6" t="inlineStr">
        <is>
          <t>Furthermore</t>
        </is>
      </c>
      <c r="H4" s="6" t="inlineStr">
        <is>
          <t>Because</t>
        </is>
      </c>
      <c r="I4" s="6" t="inlineStr">
        <is>
          <t>A</t>
        </is>
      </c>
      <c r="J4" s="5" t="inlineStr">
        <is>
          <t>[1초 공식: 전치사 vs 접속사 구별]
콤마(,) 앞이 동사가 없는 명사구(the unprecedented rise...)이므로 전치사 자리입니다. 문맥상 운임 상승에도 불구하고 수익이 늘었다는 양보 관계이므로 전치사 (A) Despite가 정답입니다.
[오답 소거] (B) Although와 (D) Because는 접속사이므로 뒤에 절(S+V)이 와야 하므로 탈락! (C) Furthermore는 접속부사이므로 문장 연결 불가.</t>
        </is>
      </c>
      <c r="K4" s="7">
        <f>HYPERLINK("https://srunaic.github.io/Korea_History_Exel_CBT_System/toeic_cbt.html?q=14#q14", "🔥 Q14번 킬러 풀기")</f>
        <v/>
      </c>
    </row>
    <row r="5" ht="58" customHeight="1">
      <c r="A5" s="5" t="inlineStr">
        <is>
          <t>Q18</t>
        </is>
      </c>
      <c r="B5" s="5" t="inlineStr">
        <is>
          <t>Part 5</t>
        </is>
      </c>
      <c r="C5" s="6" t="inlineStr">
        <is>
          <t>Grammar (명사절 접속사/관계사)</t>
        </is>
      </c>
      <c r="D5" s="6" t="inlineStr">
        <is>
          <t>The senior project director hasn't decided ------- the annual marketing symposium will be hosted in Chicago or Atlanta.</t>
        </is>
      </c>
      <c r="E5" s="6" t="inlineStr">
        <is>
          <t>whether</t>
        </is>
      </c>
      <c r="F5" s="6" t="inlineStr">
        <is>
          <t>that</t>
        </is>
      </c>
      <c r="G5" s="6" t="inlineStr">
        <is>
          <t>which</t>
        </is>
      </c>
      <c r="H5" s="6" t="inlineStr">
        <is>
          <t>what</t>
        </is>
      </c>
      <c r="I5" s="6" t="inlineStr">
        <is>
          <t>A</t>
        </is>
      </c>
      <c r="J5" s="5" t="inlineStr">
        <is>
          <t>[1초 공식: whether A or B 짝꿍 공식]
타동사 decided의 목적어 절을 이끌면서 절 뒤의 상관접속사 'or'와 호응하는 명사절 접속사는 'whether A or B(~인지 아닌지)'를 이끄는 (A) whether입니다.</t>
        </is>
      </c>
      <c r="K5" s="7">
        <f>HYPERLINK("https://srunaic.github.io/Korea_History_Exel_CBT_System/toeic_cbt.html?q=18#q18", "🔥 Q18번 킬러 풀기")</f>
        <v/>
      </c>
    </row>
    <row r="6" ht="58" customHeight="1">
      <c r="A6" s="5" t="inlineStr">
        <is>
          <t>Q22</t>
        </is>
      </c>
      <c r="B6" s="5" t="inlineStr">
        <is>
          <t>Part 5</t>
        </is>
      </c>
      <c r="C6" s="6" t="inlineStr">
        <is>
          <t>★킬러 (도치/가정법 If 생략)</t>
        </is>
      </c>
      <c r="D6" s="6" t="inlineStr">
        <is>
          <t>------- you encounter any technical difficulties during the online assessment, please immediately contact our technical support division.</t>
        </is>
      </c>
      <c r="E6" s="6" t="inlineStr">
        <is>
          <t>Should</t>
        </is>
      </c>
      <c r="F6" s="6" t="inlineStr">
        <is>
          <t>Were</t>
        </is>
      </c>
      <c r="G6" s="6" t="inlineStr">
        <is>
          <t>Had</t>
        </is>
      </c>
      <c r="H6" s="6" t="inlineStr">
        <is>
          <t>Unless</t>
        </is>
      </c>
      <c r="I6" s="6" t="inlineStr">
        <is>
          <t>A</t>
        </is>
      </c>
      <c r="J6" s="5" t="inlineStr">
        <is>
          <t>[토익 850+ 킬러 도치 공식]
조건절 'If you should encounter...'에서 If가 생략되면 조동사 Should가 문두로 도치됩니다! 뒤에 주어 you + 동사원형 encounter가 오고 주절이 명령문(please contact...)인 대표 킬러 문제입니다.</t>
        </is>
      </c>
      <c r="K6" s="7">
        <f>HYPERLINK("https://srunaic.github.io/Korea_History_Exel_CBT_System/toeic_cbt.html?q=22#q22", "🔥 Q22번 킬러 풀기")</f>
        <v/>
      </c>
    </row>
    <row r="7" ht="58" customHeight="1">
      <c r="A7" s="5" t="inlineStr">
        <is>
          <t>Q24</t>
        </is>
      </c>
      <c r="B7" s="5" t="inlineStr">
        <is>
          <t>Part 6</t>
        </is>
      </c>
      <c r="C7" s="6" t="inlineStr">
        <is>
          <t>Sentence Insertion (문맥에 알맞은 문장 삽입)</t>
        </is>
      </c>
      <c r="D7" s="6" t="inlineStr">
        <is>
          <t>Choose the sentence that best fits the blank [ 24 ].</t>
        </is>
      </c>
      <c r="E7" s="6" t="inlineStr">
        <is>
          <t>This will ensure that security protocols remain uncompromised.</t>
        </is>
      </c>
      <c r="F7" s="6" t="inlineStr">
        <is>
          <t>The cafeteria menu will be expanded next week.</t>
        </is>
      </c>
      <c r="G7" s="6" t="inlineStr">
        <is>
          <t>Our annual sales goal has already been achieved.</t>
        </is>
      </c>
      <c r="H7" s="6" t="inlineStr">
        <is>
          <t>Applicants should submit their resumes by email.</t>
        </is>
      </c>
      <c r="I7" s="6" t="inlineStr">
        <is>
          <t>A</t>
        </is>
      </c>
      <c r="J7" s="5" t="inlineStr">
        <is>
          <t>[정답 분석] 앞 문장의 '임시 출입증 사전 신청' 규정을 받는 지시대명사 'This'가 들어가며, 보안 수칙 준수 목적을 설명하는 (A) This will ensure that security protocols remain uncompromised가 문맥상 완벽합니다.</t>
        </is>
      </c>
      <c r="K7" s="7">
        <f>HYPERLINK("https://srunaic.github.io/Korea_History_Exel_CBT_System/toeic_cbt.html?q=24#q24", "🔥 Q24번 킬러 풀기")</f>
        <v/>
      </c>
    </row>
    <row r="8" ht="58" customHeight="1">
      <c r="A8" s="5" t="inlineStr">
        <is>
          <t>Q30</t>
        </is>
      </c>
      <c r="B8" s="5" t="inlineStr">
        <is>
          <t>Part 7</t>
        </is>
      </c>
      <c r="C8" s="6" t="inlineStr">
        <is>
          <t>★킬러 (2중 지문 연계 추론)</t>
        </is>
      </c>
      <c r="D8" s="6" t="inlineStr">
        <is>
          <t>What is indicated about Horizon Legal Partners?</t>
        </is>
      </c>
      <c r="E8" s="6" t="inlineStr">
        <is>
          <t>They did not have to pay for shipping.</t>
        </is>
      </c>
      <c r="F8" s="6" t="inlineStr">
        <is>
          <t>They will receive their order by September 20.</t>
        </is>
      </c>
      <c r="G8" s="6" t="inlineStr">
        <is>
          <t>They ordered customized executive desks.</t>
        </is>
      </c>
      <c r="H8" s="6" t="inlineStr">
        <is>
          <t>They must pay the total amount immediately.</t>
        </is>
      </c>
      <c r="I8" s="6" t="inlineStr">
        <is>
          <t>A</t>
        </is>
      </c>
      <c r="J8" s="5" t="inlineStr">
        <is>
          <t>[정답 분석] 청구서의 'Delivery Fee: WAIVED (Orders over $1,000)'에 따라 1,000달러를 초과하여 배송비를 지불할 필요가 없었으므로 (A) They did not have to pay for shipping이 정답입니다.</t>
        </is>
      </c>
      <c r="K8" s="7">
        <f>HYPERLINK("https://srunaic.github.io/Korea_History_Exel_CBT_System/toeic_cbt.html?q=30#q30", "🔥 Q30번 킬러 풀기")</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2026-10-06T05:19:36Z</dcterms:created>
  <dcterms:modified xmlns:dcterms="http://purl.org/dc/terms/" xmlns:xsi="http://www.w3.org/2001/XMLSchema-instance" xsi:type="dcterms:W3CDTF">2026-10-06T07:29:06Z</dcterms:modified>
</cp:coreProperties>
</file>