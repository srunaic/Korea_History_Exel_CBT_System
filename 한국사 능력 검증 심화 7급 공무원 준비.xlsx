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Github\공무원 시험 루트 준비\"/>
    </mc:Choice>
  </mc:AlternateContent>
  <xr:revisionPtr revIDLastSave="0" documentId="13_ncr:1_{27B30504-930B-4DCC-B149-2A66CF9CD42B}" xr6:coauthVersionLast="41" xr6:coauthVersionMax="41" xr10:uidLastSave="{00000000-0000-0000-0000-000000000000}"/>
  <bookViews>
    <workbookView xWindow="7000" yWindow="920" windowWidth="30210" windowHeight="18240" xr2:uid="{00000000-000D-0000-FFFF-FFFF00000000}"/>
  </bookViews>
  <sheets>
    <sheet name="전체_통합_기출공식" sheetId="1" r:id="rId1"/>
    <sheet name="1. 선사~초기국가" sheetId="2" r:id="rId2"/>
    <sheet name="2. 삼국~남북국" sheetId="3" r:id="rId3"/>
    <sheet name="3. 고려" sheetId="4" r:id="rId4"/>
    <sheet name="4. 조선" sheetId="5" r:id="rId5"/>
    <sheet name="5. 근대개항기" sheetId="6" r:id="rId6"/>
    <sheet name="6. 일제강점기" sheetId="7" r:id="rId7"/>
    <sheet name="7. 현대" sheetId="8" r:id="rId8"/>
    <sheet name="★킬러_100점완성_공식(Red)" sheetId="9" r:id="rId9"/>
  </sheets>
  <calcPr calcId="191029"/>
</workbook>
</file>

<file path=xl/calcChain.xml><?xml version="1.0" encoding="utf-8"?>
<calcChain xmlns="http://schemas.openxmlformats.org/spreadsheetml/2006/main">
  <c r="I16" i="9" l="1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I9" i="8"/>
  <c r="I8" i="8"/>
  <c r="I7" i="8"/>
  <c r="I6" i="8"/>
  <c r="I5" i="8"/>
  <c r="I4" i="8"/>
  <c r="I3" i="8"/>
  <c r="I2" i="8"/>
  <c r="I9" i="7"/>
  <c r="I8" i="7"/>
  <c r="I7" i="7"/>
  <c r="I6" i="7"/>
  <c r="I5" i="7"/>
  <c r="I4" i="7"/>
  <c r="I3" i="7"/>
  <c r="I2" i="7"/>
  <c r="I9" i="6"/>
  <c r="I8" i="6"/>
  <c r="I7" i="6"/>
  <c r="I6" i="6"/>
  <c r="I5" i="6"/>
  <c r="I4" i="6"/>
  <c r="I3" i="6"/>
  <c r="I2" i="6"/>
  <c r="I11" i="5"/>
  <c r="I10" i="5"/>
  <c r="I9" i="5"/>
  <c r="I8" i="5"/>
  <c r="I7" i="5"/>
  <c r="I6" i="5"/>
  <c r="I5" i="5"/>
  <c r="I4" i="5"/>
  <c r="I3" i="5"/>
  <c r="I2" i="5"/>
  <c r="I9" i="4"/>
  <c r="I8" i="4"/>
  <c r="I7" i="4"/>
  <c r="I6" i="4"/>
  <c r="I5" i="4"/>
  <c r="I4" i="4"/>
  <c r="I3" i="4"/>
  <c r="I2" i="4"/>
  <c r="I11" i="3"/>
  <c r="I10" i="3"/>
  <c r="I9" i="3"/>
  <c r="I8" i="3"/>
  <c r="I7" i="3"/>
  <c r="I6" i="3"/>
  <c r="I5" i="3"/>
  <c r="I4" i="3"/>
  <c r="I3" i="3"/>
  <c r="I2" i="3"/>
  <c r="I11" i="2"/>
  <c r="I10" i="2"/>
  <c r="I9" i="2"/>
  <c r="I8" i="2"/>
  <c r="I7" i="2"/>
  <c r="I6" i="2"/>
  <c r="I5" i="2"/>
  <c r="I4" i="2"/>
  <c r="I3" i="2"/>
  <c r="I2" i="2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<sst xmlns="http://schemas.openxmlformats.org/spreadsheetml/2006/main" count="1313" uniqueCount="433">
  <si>
    <t>시대 구분</t>
  </si>
  <si>
    <t>번호대</t>
  </si>
  <si>
    <t>핵심 단골 주제</t>
  </si>
  <si>
    <t>사료/지문 필수 키워드</t>
  </si>
  <si>
    <t>정답 연결 선지</t>
  </si>
  <si>
    <t>난이도 및 중요도</t>
  </si>
  <si>
    <t>왕/인물 암기 팁</t>
  </si>
  <si>
    <t>대표 기출 회차·문항</t>
  </si>
  <si>
    <t>실전 CBT 풀기</t>
  </si>
  <si>
    <t>선사~초기국가</t>
  </si>
  <si>
    <t>1번</t>
  </si>
  <si>
    <t>구석기 시대 생활상</t>
  </si>
  <si>
    <t>뗀석기(주먹도끼·찍개), 막집·동굴, 연천 전곡리</t>
  </si>
  <si>
    <t>주먹도끼 등을 이용하여 사냥과 채집을 하였다</t>
  </si>
  <si>
    <t>★★☆</t>
  </si>
  <si>
    <t>연천 전곡리 아슐리안형 주먹도끼가 대표 유물</t>
  </si>
  <si>
    <t>제68회 심화</t>
  </si>
  <si>
    <t>신석기 시대 생활상</t>
  </si>
  <si>
    <t>빗살무늬토기, 가락바퀴, 갈판과 갈돌, 원시신앙(애니미즘 등)</t>
  </si>
  <si>
    <t>가락바퀴와 뼈바늘을 이용하여 옷을 만들어 입었다</t>
  </si>
  <si>
    <t>★★★</t>
  </si>
  <si>
    <t>농경·정착 시작! 가락바퀴·뼈바늘=원시수공업</t>
  </si>
  <si>
    <t>청동기 시대 사회와 도구</t>
  </si>
  <si>
    <t>고인돌, 비파형동검, 반달돌칼, 미송리식 토기, 배산임수</t>
  </si>
  <si>
    <t>계급이 발생하고 군장(지배자)이 등장하였다</t>
  </si>
  <si>
    <t>벼농사 시작! 농기구는 돌(반달돌칼), 무기는 청동(비파형동검)</t>
  </si>
  <si>
    <t>철기 시대 독자적 문화</t>
  </si>
  <si>
    <t>세형동검, 잔무늬거울, 명도전·반량전, 창원 다호리 붓</t>
  </si>
  <si>
    <t>한반도 내 독자적 청동기 문화(세형동검) 및 중국과의 교류(붓·명도전)</t>
  </si>
  <si>
    <t>세형동검=한국식 동검, 붓과 명도전=중국과 활발한 교류 증거</t>
  </si>
  <si>
    <t>2번</t>
  </si>
  <si>
    <t>고조선의 발전과 변천</t>
  </si>
  <si>
    <t>단군왕검, 8조법(범금8조), 위만 집권, 한 무제 침략</t>
  </si>
  <si>
    <t>위만이 집권하여 진번·임둔을 복속하고 중계무역의 이득을 독점하였다</t>
  </si>
  <si>
    <t>단군(연과 대립) → 위만(철기 수용·중계무역) → 한무제 침략(우거왕 함락)</t>
  </si>
  <si>
    <t>부여의 정치와 제천행사</t>
  </si>
  <si>
    <t>사출도, 마가·우가·저가·구가, 영고(12월), 1책 12법</t>
  </si>
  <si>
    <t>도둑질한 자에게 12배를 물게 하였다 (1책 12법)</t>
  </si>
  <si>
    <t>부여는 "부영사(부여 영고 사출도 1책12법)"</t>
  </si>
  <si>
    <t>초기 고구려의 풍습</t>
  </si>
  <si>
    <t>서옥제(데릴사위), 동맹(10월), 제가회의, 부경(창고)</t>
  </si>
  <si>
    <t>혼인 풍습으로 서옥제가 있었고 10월에 제천행사 동맹을 열었다</t>
  </si>
  <si>
    <t>고구려는 "고자동(고구려 서옥제 동맹)"</t>
  </si>
  <si>
    <t>옥저의 풍습과 사회</t>
  </si>
  <si>
    <t>민며느리제, 가족공동무덤(골장제), 읍군·삼로</t>
  </si>
  <si>
    <t>밑며느리(민며느리) 풍습이 있었고 어물과 소금을 고구려에 공납하였다</t>
  </si>
  <si>
    <t>옥저는 "옥민골(옥저 민며느리 골장제 왕 없음)"</t>
  </si>
  <si>
    <t>동예의 풍습과 특산물</t>
  </si>
  <si>
    <t>책화, 족외혼, 무천(10월), 단궁·과하마·반어피</t>
  </si>
  <si>
    <t>다른 부족의 경계를 침범하면 소·말로 배상하는 책화가 있었다</t>
  </si>
  <si>
    <t>동예는 "동책단(동예 책화 단궁 무천)"</t>
  </si>
  <si>
    <t>삼한의 제정분리 사회</t>
  </si>
  <si>
    <t>천군, 소도, 신지·읍차, 5월 수릿날·10월 계절제</t>
  </si>
  <si>
    <t>제사장인 천군과 신성 구역인 소도가 존재하였다 (제정분리)</t>
  </si>
  <si>
    <t>삼한은 "삼천소(삼한 천군 소도=제정분리)"</t>
  </si>
  <si>
    <t>삼국~남북국</t>
  </si>
  <si>
    <t>3~4번</t>
  </si>
  <si>
    <t>백제 전성기 (근초고왕, 4C)</t>
  </si>
  <si>
    <t>마한 정복, 평양성 공격(고국원왕 전사), 칠지도, 서기 편찬</t>
  </si>
  <si>
    <t>요서·산둥·규슈 방면으로 진출 / 고흥에게 서기를 편찬하게 하였다</t>
  </si>
  <si>
    <t>백제 4세기 근초고왕: 평양성 격파, 칠지도 하사, 서기 편찬</t>
  </si>
  <si>
    <t>백제 중흥 노력 (무령왕·성왕, 6C)</t>
  </si>
  <si>
    <t>무령왕(22담로 왕족 파견, 벽돌무덤) / 성왕(사비 천도, 관산성 전사)</t>
  </si>
  <si>
    <t>무령왕: 22담로에 왕족 파견 / 성왕: 국호를 남부여로 고치고 22부 관제 정비</t>
  </si>
  <si>
    <t>무령왕(22담로) → 성왕(사비천도, 남부여, 관산성 전사)</t>
  </si>
  <si>
    <t>고구려 팽창기 (광개토대왕, 4~5C)</t>
  </si>
  <si>
    <t>영락 연호, 신라 구원(왜 격퇴), 호우명 그릇, 요동 정복</t>
  </si>
  <si>
    <t>신라 내물마립간의 요청으로 왜구를 격퇴하였다</t>
  </si>
  <si>
    <t>영락 칭호! 신라 도와 왜 격퇴 → 호우명 그릇에 영향력 흔적</t>
  </si>
  <si>
    <t>고구려 전성기 (장수왕, 5C)</t>
  </si>
  <si>
    <t>평양 천도, 남진 정책, 한성 함락(개로왕 전사), 충주 고구려비</t>
  </si>
  <si>
    <t>한강 유역을 장악하고 충주 고구려비를 건립하였다</t>
  </si>
  <si>
    <t>장수왕 남진 때문에 백제-신라 쫄아서 "나제동맹(비유-눌지)" 체결</t>
  </si>
  <si>
    <t>4~5번</t>
  </si>
  <si>
    <t>신라 체제 정비 (법흥왕, 6C)</t>
  </si>
  <si>
    <t>병부 설치, 율령 반포, 이차돈 순교(불교 공인), 건원 연호</t>
  </si>
  <si>
    <t>건원이라는 독자적 연호를 사용하고 상대등을 설치하였다</t>
  </si>
  <si>
    <t>법흥왕=법(율령)과 불(불교)을 흥하게 함! 병부·상대등·건원</t>
  </si>
  <si>
    <t>신라 전성기 (진흥왕, 6C)</t>
  </si>
  <si>
    <t>대가야 정복, 화랑도 개편, 단양 적성비·4대 순수비, 당항성</t>
  </si>
  <si>
    <t>한강 하류를 장악하여 중국과 직접 교류하는 당항성을 확보하였다</t>
  </si>
  <si>
    <t>진흥왕: 한강 올인! 대가야 정복, 북한산비 등 4대 순수비 건립</t>
  </si>
  <si>
    <t>6~7번</t>
  </si>
  <si>
    <t>통일신라 전제왕권 (신문왕, 7C)</t>
  </si>
  <si>
    <t>김흠돌 모역 숙청, 9주 5소경, 국학 설치, 관료전 지급·녹읍 폐지</t>
  </si>
  <si>
    <t>문무왕 삼국통일 후 관료전을 지급하고 녹읍을 폐지하여 귀족 억압</t>
  </si>
  <si>
    <t>신문왕=왕권 절정! 귀족 힘 빼기(관료전 UP, 녹읍 DOWN)</t>
  </si>
  <si>
    <t>7~8번</t>
  </si>
  <si>
    <t>신라 하대의 동요와 호족 대두</t>
  </si>
  <si>
    <t>혜공왕 피살, 원성왕 독서삼품과, 장보고 청해진, 원종·애노의 난</t>
  </si>
  <si>
    <t>원성왕: 유교 경전 이해도로 관리를 선발하는 독서삼품과를 실시하였다</t>
  </si>
  <si>
    <t>신라 하대: 혜공왕 피살(왕위쟁탈) → 원성왕 독서삼품과 → 호족·선종·풍수지리</t>
  </si>
  <si>
    <t>제67회 8번</t>
  </si>
  <si>
    <t>발해의 대외 팽창 (무왕, 8C)</t>
  </si>
  <si>
    <t>인안 연호, 장문휴 산둥 공격, 흑수말갈 정벌, 대씨 칭호</t>
  </si>
  <si>
    <t>장문휴를 보내 당의 등주를 선제공격하였다 / 일본에 고려국왕 칭호</t>
  </si>
  <si>
    <t>무왕=무력 대결! 독자연호 인안, 장문휴 장군 등주(산둥) 공격</t>
  </si>
  <si>
    <t>발해의 제도 정비와 전성기 (문왕·선왕)</t>
  </si>
  <si>
    <t>문왕(대흥 연호, 3성6부, 주자감) / 선왕(건흥 연호, 5경15부62주, 해동성국)</t>
  </si>
  <si>
    <t>문왕: 당과 친선, 신라도 개설 / 선왕: 당으로부터 해동성국이라 불렸다</t>
  </si>
  <si>
    <t>문왕=문치·친선 / 선왕=최대전성기 "해동성국"(5경15부62주)</t>
  </si>
  <si>
    <t>고려</t>
  </si>
  <si>
    <t>11~12번</t>
  </si>
  <si>
    <t>고려 태조 왕건의 정책</t>
  </si>
  <si>
    <t>흑창 설치, 기인·사심관 제도, 정계·계백요서, 훈요 10조</t>
  </si>
  <si>
    <t>후대 왕들이 지켜야 할 통치 교훈인 훈요 10조를 남겼다</t>
  </si>
  <si>
    <t>왕건: 융합(혼인·사성)+견제(기인·사심관)+민생(흑창)+유훈(훈요10조)</t>
  </si>
  <si>
    <t>제68회 11번</t>
  </si>
  <si>
    <t>12번</t>
  </si>
  <si>
    <t>고려 광종의 왕권 강화</t>
  </si>
  <si>
    <t>노비안검법, 과거제 실시(쌍기 건의), 칭제건원(광덕·준풍), 공복 제정</t>
  </si>
  <si>
    <t>호족의 경제적·군사적 기반을 약화시키기 위해 노비안검법을 시행하였다</t>
  </si>
  <si>
    <t>광종=호족 숙청! "노비 풀어주고(안검법), 쌍기 과거제로 내 사람 뽑음"</t>
  </si>
  <si>
    <t>제67회 12번</t>
  </si>
  <si>
    <t>13번</t>
  </si>
  <si>
    <t>고려 성종의 유교 통치 확립</t>
  </si>
  <si>
    <t>최승로의 시무 28조, 12목 설치, 국자감, 건원중보 반포</t>
  </si>
  <si>
    <t>지방관(12목 목사)을 파견하고 향리 제도를 마련하였다</t>
  </si>
  <si>
    <t>성종=유교 체제 완성! "최승로 시무 28조 수용 → 12목 목사 파견"</t>
  </si>
  <si>
    <t>제68회 21번</t>
  </si>
  <si>
    <t>14~15번</t>
  </si>
  <si>
    <t>거란의 3차 침입 격퇴</t>
  </si>
  <si>
    <t>서희 소손녕 담판(1차), 양규 활약(2차), 강감찬 귀주대첩(3차)</t>
  </si>
  <si>
    <t>서희: 외교 담판으로 강동 6주 획득 / 강감찬: 귀주대첩 승리 후 나성 축조</t>
  </si>
  <si>
    <t>거란 격퇴: 서희(강동6주) → 양규(흥화진) → 강감찬(귀주대첩·천리장성)</t>
  </si>
  <si>
    <t>제67회 14번</t>
  </si>
  <si>
    <t>여진 정벌과 동북 9성</t>
  </si>
  <si>
    <t>윤관 건의, 별무반 편성(신기·신보·항마군), 동북 9성 축조</t>
  </si>
  <si>
    <t>별무반을 이끌고 여진을 몰아내어 동북 9성을 축조하였다</t>
  </si>
  <si>
    <t>여진 정벌: 별무반(신기·신보·항마) → 동북 9성 축조 → 반환 → 금 건국</t>
  </si>
  <si>
    <t>제66회 14번</t>
  </si>
  <si>
    <t>15~16번</t>
  </si>
  <si>
    <t>몽골 침입과 대몽 항쟁</t>
  </si>
  <si>
    <t>최우 강화 천도, 처인성 전투(김윤후), 팔만대장경 조판, 삼별초 항쟁</t>
  </si>
  <si>
    <t>김윤후가 처인성에서 몽골 장수 살리타를 사살하였다 / 삼별초의 진도·제주도 항쟁</t>
  </si>
  <si>
    <t>몽골 항쟁: 강화천도 → 처인성(김윤후 살리타 사살) → 충주성 → 삼별초 항쟁</t>
  </si>
  <si>
    <t>제68회 15번</t>
  </si>
  <si>
    <t>16번</t>
  </si>
  <si>
    <t>고려 불교 사상사 (의천·지눌)</t>
  </si>
  <si>
    <t>의천(교관겸수, 해동 천태종, 속장경) / 지눌(정혜쌍수, 돈오점수, 조계종, 수선사)</t>
  </si>
  <si>
    <t>의천: 교종 중심으로 선종 통합 / 지눌: 권수정혜결사문 발표, 불교 정화 운동 전개</t>
  </si>
  <si>
    <t>의천=왕자(교종 중심 교관겸수) / 지눌=개혁승(선종 중심 정혜쌍수·수선사)</t>
  </si>
  <si>
    <t>제67회 16번</t>
  </si>
  <si>
    <t>17~18번</t>
  </si>
  <si>
    <t>공민왕의 반원 개혁 정치</t>
  </si>
  <si>
    <t>기철 숙청, 몽골풍 폐지, 쌍성총관부 무력 수복, 정동행성 이문소 폐지</t>
  </si>
  <si>
    <t>신돈을 등용하여 전민변정도감을 설치하고 권문세족의 토지·노비를 개혁하였다</t>
  </si>
  <si>
    <t>공민왕=원명교체기 반원자주(쌍성총관부 탈환) + 반권문세족(신돈 전민변정도감)</t>
  </si>
  <si>
    <t>제68회 17번</t>
  </si>
  <si>
    <t>조선</t>
  </si>
  <si>
    <t>19~20번</t>
  </si>
  <si>
    <t>조선 태종의 왕권 강화</t>
  </si>
  <si>
    <t>사병 혁파, 6조 직계제, 호패법 실시, 신문고, 주자소(계미자)</t>
  </si>
  <si>
    <t>왕권 강화를 위해 6조 직계제를 실시하고 호패법을 제정하였다</t>
  </si>
  <si>
    <t>태종(킬방원: 6조 직계제, 사병 혁파, 양전·호패법)</t>
  </si>
  <si>
    <t>제68회 19번</t>
  </si>
  <si>
    <t>조선 세종의 민족 문화 융성</t>
  </si>
  <si>
    <t>의정부 서사제, 집현전, 훈민정음, 4군 6진 개척, 공법(전분6등·연분9등)</t>
  </si>
  <si>
    <t>훈민정음을 창제하고 전분6등법·연분9등법의 공법을 제정하였다</t>
  </si>
  <si>
    <t>세종(의정부 서사제, 집현전, 훈민정음, 칠정산, 농사직설, 4군6진)</t>
  </si>
  <si>
    <t>제67회 20번</t>
  </si>
  <si>
    <t>20~21번</t>
  </si>
  <si>
    <t>조선 세조의 체제 재정비</t>
  </si>
  <si>
    <t>계유정난, 집현전·경연 폐지, 직전법 실시, 6조 직계제 부활</t>
  </si>
  <si>
    <t>현직 관리에게만 수조권을 지급하는 직전법을 시행하였다</t>
  </si>
  <si>
    <t>세조(단종 몰아내고 집현전 폐지, 현직 관리만 과전 주는 직전법)</t>
  </si>
  <si>
    <t>제66회 20번</t>
  </si>
  <si>
    <t>조선 성종의 유교 통치 완성</t>
  </si>
  <si>
    <t>홍문관(옥당) 설치, 경연 활성화, 동국여지승람, 악학궤범</t>
  </si>
  <si>
    <t>통치 규범 체계를 집대성한 경국대전을 완성하여 반포하였다</t>
  </si>
  <si>
    <t>성종(사림 등용 홍문관, 경국대전 완성 및 반포)</t>
  </si>
  <si>
    <t>22~23번</t>
  </si>
  <si>
    <t>광해군의 중립외교와 민생</t>
  </si>
  <si>
    <t>대동법 최초 시행(경기도), 동의보감 편찬, 명·후금 사이 중립외교(강홍립)</t>
  </si>
  <si>
    <t>방납의 폐단을 막기 위해 특산물 대신 쌀을 거두는 대동법을 시행하였다</t>
  </si>
  <si>
    <t>광해군(북인 집권, 전후 복구 대동법, 명·후금 사이 강홍립 중립외교)</t>
  </si>
  <si>
    <t>제67회 23번</t>
  </si>
  <si>
    <t>25~26번</t>
  </si>
  <si>
    <t>영조의 탕평책과 민생 안정</t>
  </si>
  <si>
    <t>탕평비 건립, 이조 전랑 권한 약화, 서원 정리, 속대전 편찬</t>
  </si>
  <si>
    <t>군포 부담을 2필에서 1필로 줄여주는 균역법을 제정하였다</t>
  </si>
  <si>
    <t>영조(완론탕평, 균역법, 탕평비, 청계천 준설, 속대전 편찬)</t>
  </si>
  <si>
    <t>제68회 25번</t>
  </si>
  <si>
    <t>26~27번</t>
  </si>
  <si>
    <t>정조의 개혁 정치와 탕평</t>
  </si>
  <si>
    <t>규장각 설치, 장용영 창설, 수원 화성 축조, 초계문신제 실시</t>
  </si>
  <si>
    <t>시전 상인의 금난전권을 폐지하는 신해통공을 단행하였다</t>
  </si>
  <si>
    <t>정조(준론탕평, 규장각, 장용영, 수원화성, 신해통공, 대전통편)</t>
  </si>
  <si>
    <t>제68회 26번</t>
  </si>
  <si>
    <t>27~28번</t>
  </si>
  <si>
    <t>조선 후기 수취제도 3대 개혁</t>
  </si>
  <si>
    <t>영정법(풍흉 불문 1결당 4~6두) / 대동법(특산물 대신 쌀·포·동전) / 균역법(군포 1필)</t>
  </si>
  <si>
    <t>대동법 시행 결과 국가 공납 물품을 조달하는 공인이 성장하였다</t>
  </si>
  <si>
    <t>수취개혁: 영정법(인조: 전세) → 대동법(광해군: 공납) → 균역법(영조: 군역)</t>
  </si>
  <si>
    <t>제67회 27번</t>
  </si>
  <si>
    <t>29~30번</t>
  </si>
  <si>
    <t>조선 후기 중농학파 실학자</t>
  </si>
  <si>
    <t>유형원(반계수록, 균전론) / 이익(한전론·영업전) / 정약용(목민심서, 여전론·정전론)</t>
  </si>
  <si>
    <t>정약용: 배다리와 거중기를 고안하여 수원 화성을 축조하고 여전론 주장</t>
  </si>
  <si>
    <t>중농 3대장: "유형원(신분별 균전) - 이익(영업전 한전) - 정약용(여전·정전)"</t>
  </si>
  <si>
    <t>제66회 29번</t>
  </si>
  <si>
    <t>조선 후기 중상학파 실학자</t>
  </si>
  <si>
    <t>유득공(발해고) / 박지원(열하일기, 양반전, 수레·선박) / 박제가(북학의, 소비론)</t>
  </si>
  <si>
    <t>박제가: 우물물에 비유하여 소비의 중요성을 강조하고 청과의 통상 주장</t>
  </si>
  <si>
    <t>중상 3대장: "유득공(발해고) - 박지원(수레·열하일기) - 박제가(우물물 소비)"</t>
  </si>
  <si>
    <t>제67회 29번</t>
  </si>
  <si>
    <t>근대개항기</t>
  </si>
  <si>
    <t>31~32번</t>
  </si>
  <si>
    <t>흥선대원군의 대내외 개혁</t>
  </si>
  <si>
    <t>비변사 폐지, 서원 철폐, 경복궁 중건(당백전·원납전), 척화비 건립</t>
  </si>
  <si>
    <t>호포제를 실시하여 양반에게도 군포를 징수하고 사창제를 운영하였다</t>
  </si>
  <si>
    <t>흥선대원군: 비변사 폐지, 서원 철폐, 호포제, 경복궁(당백전), 척화비</t>
  </si>
  <si>
    <t>제68회 31번</t>
  </si>
  <si>
    <t>최초의 근대 조약 (강화도 조약, 1876)</t>
  </si>
  <si>
    <t>운요호 사건, 부산 및 2개 항구 개항, 해안 측량권, 영사재판권(치외법권)</t>
  </si>
  <si>
    <t>치외법권(영사재판권)과 해안 측량권을 규정한 불평등 조약을 체결하였다</t>
  </si>
  <si>
    <t>강화도 조약(1876): 최초 근대 조약이나 불평등(영사재판권, 해안측량권 인정)</t>
  </si>
  <si>
    <t>제67회 31번</t>
  </si>
  <si>
    <t>32~33번</t>
  </si>
  <si>
    <t>임오군란과 청의 내정간섭 (1882)</t>
  </si>
  <si>
    <t>구식 군인 차별, 별기군 우대, 제물포 조약, 조청상민수륙무역장정</t>
  </si>
  <si>
    <t>청의 군사 개입으로 진압된 후 청 상인의 한양 내륙 진출을 허용하였다</t>
  </si>
  <si>
    <t>1882 임오군란 → 청 개입 → 조청상민수륙무역장정(한양 내륙 상권 침투)</t>
  </si>
  <si>
    <t>제66회 32번</t>
  </si>
  <si>
    <t>33~34번</t>
  </si>
  <si>
    <t>급진개화파의 개혁 (갑신정변, 1884)</t>
  </si>
  <si>
    <t>김옥균·박영효, 우정총국 낙성연, 삼일천하, 14개조 개혁 요강</t>
  </si>
  <si>
    <t>청에 대한 사대 폐지, 문벌 폐지, 호조로의 재정 일원화를 주장하였다</t>
  </si>
  <si>
    <t>갑신정변(1884): 김옥균·박영효 / 14개조(호조 재정일원화) / 톈진조약 체결 계기</t>
  </si>
  <si>
    <t>제68회 33번</t>
  </si>
  <si>
    <t>35~36번</t>
  </si>
  <si>
    <t>동학 농민 운동 (1894)</t>
  </si>
  <si>
    <t>고부 봉기, 황토현·황룡촌 전투, 전주화약, 집강소, 삼례 집결, 우금치 전투</t>
  </si>
  <si>
    <t>전주화약 체결 후 자치 기구인 집강소를 설치하여 폐정 개혁안을 실천하였다</t>
  </si>
  <si>
    <t>동학 순서: 고부 → 황토현 승리 → 전주화약(집강소) → 삼례 집결 → 우금치 패배</t>
  </si>
  <si>
    <t>제67회 35번</t>
  </si>
  <si>
    <t>36~37번</t>
  </si>
  <si>
    <t>갑오개혁과 을미개혁 (1894~1895)</t>
  </si>
  <si>
    <t>군국기무처(1차), 홍범 14조(2차), 단발령·태양력·건양 연호(을미)</t>
  </si>
  <si>
    <t>공사 노비법을 혁파하고 신분제(반상제)를 공식 폐지하였다 (1차 갑오)</t>
  </si>
  <si>
    <t>1차 갑오(신분제 폐지, 과부재가) → 2차 갑오(홍범14조) → 을미(단발령, 태양력)</t>
  </si>
  <si>
    <t>제68회 36번</t>
  </si>
  <si>
    <t>37~38번</t>
  </si>
  <si>
    <t>독립협회와 만민공동회 (1896~1898)</t>
  </si>
  <si>
    <t>서재필, 독립문 건립, 만민공동회(러시아 이권 침탈 저지), 관민공동회(헌의 6조)</t>
  </si>
  <si>
    <t>관민공동회를 개최하여 중추원 관제 개편을 통한 의회 설립을 추진하였다</t>
  </si>
  <si>
    <t>독립협회: 서재필 독립문 → 만민공동회(러시아 저지) → 관민공동회(헌의 6조 의회)</t>
  </si>
  <si>
    <t>제67회 37번</t>
  </si>
  <si>
    <t>38~39번</t>
  </si>
  <si>
    <t>대한제국과 광무개혁 (1897~)</t>
  </si>
  <si>
    <t>환구단 황제 즉위, 연호 광무, 구본신참, 원수부 설치, 지계아문(지계 발급)</t>
  </si>
  <si>
    <t>양전 사업을 실시하고 근대적 토지 소유 증명서인 지계를 발급하였다</t>
  </si>
  <si>
    <t>대한제국(1897): 구본신참(옛것 바탕 새것 참작) → 원수부(군권) + 지계 발급</t>
  </si>
  <si>
    <t>제68회 38번</t>
  </si>
  <si>
    <t>일제강점기</t>
  </si>
  <si>
    <t>40~41번</t>
  </si>
  <si>
    <t>1910년대 무단통치와 경제수탈</t>
  </si>
  <si>
    <t>헌병 경찰제, 조선태형령, 칼 찬 교사, 범죄즉결례, 토지조사사업(기한부 신고제)</t>
  </si>
  <si>
    <t>토지조사사업을 실시하여 막대한 국유지를 확보하고 농민 경작권을 박탈하였다</t>
  </si>
  <si>
    <t>1910년대: 무단통치(헌병경찰, 태형령, 즉결처분) + 수탈(토지조사사업, 회사령 허가제)</t>
  </si>
  <si>
    <t>제68회 40번</t>
  </si>
  <si>
    <t>41~42번</t>
  </si>
  <si>
    <t>1910년대 국내외 독립운동</t>
  </si>
  <si>
    <t>국내(독립의군부-임병찬·복벽주의, 대한광복회-박상진·공화정) / 만주(신흥무관학교)</t>
  </si>
  <si>
    <t>박상진 등이 결성한 대한광복회는 공화정 수립을 목표로 군대식 조직을 운영하였다</t>
  </si>
  <si>
    <t>국내 비밀결사: 독립의군부(복벽주의 고종복위) vs 대한광복회(공화정 군대식)</t>
  </si>
  <si>
    <t>42~43번</t>
  </si>
  <si>
    <t>3.1 운동과 대한민국 임시정부 (1919)</t>
  </si>
  <si>
    <t>고종 인산일, 기미독립선언서, 화성 제암리 학살, 상하이 통합 임정, 연통제·교통국</t>
  </si>
  <si>
    <t>3.1 운동의 결과 상하이에 삼권분립에 기초한 대한민국 임시정부가 수립되었다</t>
  </si>
  <si>
    <t>3.1 운동(1919) 결과: 민주공화제 임시정부 수립 + 일제 문화통치로 기만 전환</t>
  </si>
  <si>
    <t>제67회 42번</t>
  </si>
  <si>
    <t>1920년대 문화통치와 경제수탈</t>
  </si>
  <si>
    <t>보통경찰제, 치안유지법(1925), 산미증식계획(쌀 증산량&lt;수탈량), 회사령 폐지(신고제)</t>
  </si>
  <si>
    <t>사회주의 운동과 독립운동을 탄압하기 위해 치안유지법(1925)을 제정하였다</t>
  </si>
  <si>
    <t>1920년대: 문화통치(기만·친일파 양성) + 치안유지법(1925) + 산미증식계획(쌀 수탈)</t>
  </si>
  <si>
    <t>제68회 42번</t>
  </si>
  <si>
    <t>43~44번</t>
  </si>
  <si>
    <t>1920년대 실력양성 및 학생·사회운동</t>
  </si>
  <si>
    <t>물산장려운동(조만식, 평양), 6.10만세운동(1926, 순종 인산일), 광주학생항일운동(1929)</t>
  </si>
  <si>
    <t>조만식 등을 중심으로 '내 살림 내 것으로' 구호를 내건 물산장려운동을 전개하였다</t>
  </si>
  <si>
    <t>물산장려(평양 조만식) / 6.10만세(순종 인산일) / 광주학생(1929, 3.1 이후 최대)</t>
  </si>
  <si>
    <t>민족유일당 운동과 신간회 (1927~1931)</t>
  </si>
  <si>
    <t>정우회 선언, 비타협적 민족주의 연합, 이상재 회장, 자매단체 근우회</t>
  </si>
  <si>
    <t>광주학생항일운동에 진상조사단을 파견하고 민중대회를 준비하였다</t>
  </si>
  <si>
    <t>신간회(1927~1931): 합법적 좌우합작 단체, 이상재, 기회주의 일체 부인, 광주학생 지원</t>
  </si>
  <si>
    <t>제68회 43번</t>
  </si>
  <si>
    <t>44~45번</t>
  </si>
  <si>
    <t>1930~40년대 민족말살통치</t>
  </si>
  <si>
    <t>황국신민서사 암송, 신사참배, 창씨개명, 국가총동원법(1938), 징용·징병, 위안부, 공출</t>
  </si>
  <si>
    <t>전시 동원 체제를 구축하고 한국어 교육을 금지하며 국가총동원법(1938)을 제정하였다</t>
  </si>
  <si>
    <t>1930년대 후반~40년대: 민족말살(창씨개명·신사참배), 국가총동원법, 숟가락까지 공출</t>
  </si>
  <si>
    <t>제67회 44번</t>
  </si>
  <si>
    <t>1930~40년대 무장 독립군과 한국광복군</t>
  </si>
  <si>
    <t>한중연합(지청천 한국독립군, 양세봉 조선혁명군), 한국광복군(충칭, 지청천, OSS 작전)</t>
  </si>
  <si>
    <t>한국광복군은 대일 선전포고문을 발표하고 미국 OSS와 협력하여 국내 진공 작전을 준비하였다</t>
  </si>
  <si>
    <t>1930년대 초: 한중연합(쌍성보·영릉가) / 1940년대: 충칭 한국광복군(대일선전포고, OSS)</t>
  </si>
  <si>
    <t>제68회 45번</t>
  </si>
  <si>
    <t>현대</t>
  </si>
  <si>
    <t>46~47번</t>
  </si>
  <si>
    <t>광복 직후 통일정부 수립 갈등 (1945~1948)</t>
  </si>
  <si>
    <t>모스크바 3국 외상 회의, 정읍 발언, 좌우합작 7원칙, 남북협상(김구·김규식)</t>
  </si>
  <si>
    <t>유엔 소총회의 결정에 따라 남한 단독으로 5.10 총선거가 실시되었다</t>
  </si>
  <si>
    <t>순서: 모스크바3상회의(1945.12) → 정읍발언 → 좌우합작7원칙 → 남북협상 → 5.10 총선</t>
  </si>
  <si>
    <t>제68회 46번</t>
  </si>
  <si>
    <t>47~48번</t>
  </si>
  <si>
    <t>제헌 국회의 핵심 법률 제정 (1948~1950)</t>
  </si>
  <si>
    <t>제헌 헌법(대통령 간선제, 2년 임기), 반민특위, 농지개혁법(유상매수·유상분배)</t>
  </si>
  <si>
    <t>농지개혁법을 제정하여 경자유전의 원칙에 따라 소작농에게 토지를 분배하였다</t>
  </si>
  <si>
    <t>제헌국회 2대 입법: "반민특위(친일청산-방해로 와해) + 농지개혁(3정보 한도 유상매수·분배)"</t>
  </si>
  <si>
    <t>제67회 47번</t>
  </si>
  <si>
    <t>48번</t>
  </si>
  <si>
    <t>6.25 전쟁과 전후 체제 (1950~1953)</t>
  </si>
  <si>
    <t>북한 남침(6.25), 낙동강 방어선, 인천상륙작전, 1.4 후퇴, 휴전협정, 한미상호방위조약</t>
  </si>
  <si>
    <t>유엔군 참전 및 정전 협정 체결 후 한미상호방위조약(1953.10)이 체결되었다</t>
  </si>
  <si>
    <t>6.25 순서: 남침 → 낙동강 → 인천상륙작전 → 압록강 → 1.4후퇴 → 휴전협정 → 한미상호방위조약</t>
  </si>
  <si>
    <t>제66회 48번</t>
  </si>
  <si>
    <t>49번</t>
  </si>
  <si>
    <t>이승만 정부 붕괴 (4.19 혁명, 1960)</t>
  </si>
  <si>
    <t>3.15 부정선거, 김주열 최루탄 사망, 대학교수단 시위, 이승만 하야</t>
  </si>
  <si>
    <t>4.19 혁명으로 이승만이 하야하고 3차 개헌(내각책임제, 장면 내각)이 이루어졌다</t>
  </si>
  <si>
    <t>4.19 혁명: 3.15 부정선거 → 김주열 열사 → 4.19 혁명(하야) → 3차 개헌(장면 내각)</t>
  </si>
  <si>
    <t>제68회 49번</t>
  </si>
  <si>
    <t>49~50번</t>
  </si>
  <si>
    <t>박정희 정부의 정치와 경제 (1961~1979)</t>
  </si>
  <si>
    <t>한일기본조약(1965), 7.4 남북공동성명(1972), 유신헌법(1972), 부마민주항쟁(1979)</t>
  </si>
  <si>
    <t>자주·평화·민족대단결의 7.4 남북공동성명을 발표하였고 유신헌법을 선포하였다</t>
  </si>
  <si>
    <t>박정희: 한일회담(1965) → 경부고속도로(1970) → 7.4 남북공동성명 → 10월 유신(1972)</t>
  </si>
  <si>
    <t>제67회 49번</t>
  </si>
  <si>
    <t>50번</t>
  </si>
  <si>
    <t>5.18 민주화 운동 (1980)</t>
  </si>
  <si>
    <t>서울의 봄, 신군부 비상계엄 전국확대, 5.18 민주화 운동(광주, 시민군, 계엄군 진압)</t>
  </si>
  <si>
    <t>신군부의 비상계엄 확대에 맞서 계엄군에 저항하는 시민군을 조직하였다 (유네스코 등재)</t>
  </si>
  <si>
    <t>5.18(1980 광주 시민군, 유네스코 기록유산 등재) → 전두환 신군부 집권</t>
  </si>
  <si>
    <t>제66회 50번</t>
  </si>
  <si>
    <t>6월 민주 항쟁과 직선제 개헌 (1987)</t>
  </si>
  <si>
    <t>박종철 고문치사, 4.13 호헌 조치, 이한열 최루탄 피격, 6.10 국민대회, 6.29 선언</t>
  </si>
  <si>
    <t>5년 단임의 대통령 직선제를 골자로 하는 현행 제9차 개헌이 이루어졌다</t>
  </si>
  <si>
    <t>6월 민주 항쟁: 박종철·이한열 → 4.13 호헌반대 → 6.29 선언 → 5년 단임 직선제 개헌</t>
  </si>
  <si>
    <t>제68회 50번</t>
  </si>
  <si>
    <t>역대 정부의 통일 정책과 남북 합의서</t>
  </si>
  <si>
    <t>7.4 남북공동성명(1972, 박정희) / 남북기본합의서(1991, 노태우) / 6.15 남북공동선언(2000, 김대중)</t>
  </si>
  <si>
    <t>노태우: 남북기본합의서(상호체제인정·불가침) / 김대중: 최초 남북정상회담 및 6.15 선언 채택</t>
  </si>
  <si>
    <t>통일 3대 합의서: 7.4(박정희: 자주평화민족) → 기본합의서(노태우: 체제인정·불가침) → 6.15(김대중: 정상회담·개성공단)</t>
  </si>
  <si>
    <t>제67회 50번</t>
  </si>
  <si>
    <t>문화재 (불상)</t>
  </si>
  <si>
    <t>4번/10번</t>
  </si>
  <si>
    <t>삼국 시대 핵심 불상 사진</t>
  </si>
  <si>
    <t>고구려 금동연가7년명여래입상 / 백제 서산 용현리 마애여래삼존상 / 삼국 금동미륵보살반가사유상</t>
  </si>
  <si>
    <t>백제: 백제의 미소로 불린다 / 금동미륵보살: 일본 고류사 목조미륵보살반가사유상에 영향을 주었다</t>
  </si>
  <si>
    <t>★★★(킬러)</t>
  </si>
  <si>
    <t>금동연가7년명=광배 뒤 고구려 글씨! 반가사유상=다리 꼬고 턱 괸 채 미소</t>
  </si>
  <si>
    <t>제68회 10번</t>
  </si>
  <si>
    <t>문화재 (석탑)</t>
  </si>
  <si>
    <t>10번/17번</t>
  </si>
  <si>
    <t>백제·통일신라 핵심 석탑 사진</t>
  </si>
  <si>
    <t>익산 미륵사지 석탑(목탑양식, 사리봉영기) / 부여 정림사지 5층석탑 / 불국사 3층석탑(석가탑)</t>
  </si>
  <si>
    <t>미륵사지: 목탑 양식을 반영한 석탑 / 석가탑: 보수 과정에서 무구정광대다라니경이 발견되었다</t>
  </si>
  <si>
    <t>미륵사지=무왕·사리봉영기 / 정림사지=당 소정방 낙서(평제문) / 석가탑=무구정광대다라니경</t>
  </si>
  <si>
    <t>제67회 10번</t>
  </si>
  <si>
    <t>17번/20번</t>
  </si>
  <si>
    <t>고려·조선 다층 석탑 짝꿍</t>
  </si>
  <si>
    <t>개성 경천사지 10층 석탑(원나라 라마교 영향, 대리석) / 서울 원각사지 10층 석탑(세조)</t>
  </si>
  <si>
    <t>경천사지: 원의 영향을 받아 대리석으로 제작 / 원각사지: 경천사지 10층 석탑을 모방하여 건립</t>
  </si>
  <si>
    <t>탑 짝꿍 공식: 고려 후기 경천사지 10층탑(원 영향) ➜ 복붙해서 조선 세조 원각사지 10층탑</t>
  </si>
  <si>
    <t>문화재 (건축)</t>
  </si>
  <si>
    <t>17번/28번</t>
  </si>
  <si>
    <t>고려·조선 목조 건축물</t>
  </si>
  <si>
    <t>안동 봉정사 극락전(현존 최고 목조건물) / 영주 부석사 무량수전(배흘림) / 보은 법주사 팔상전</t>
  </si>
  <si>
    <t>봉정사: 현존하는 가장 오래된 목조 건물 / 법주사 팔상전: 조선 후기 유일한 5층 목조 탑 형식</t>
  </si>
  <si>
    <t>건축 연대: 봉정사 극락전(가장 오래됨) ➜ 부석사 무량수전(배흘림) ➜ 조선후기 법주사 팔상전(5층)</t>
  </si>
  <si>
    <t>제65회 18번</t>
  </si>
  <si>
    <t>지역사</t>
  </si>
  <si>
    <t>특화문항</t>
  </si>
  <si>
    <t>강화도 지역사 단골 총정리</t>
  </si>
  <si>
    <t>단군 참성단, 대몽항쟁 천도(팔만대장경), 정묘호란 인조 피난, 병인양요, 신미양요, 강화도 조약</t>
  </si>
  <si>
    <t>어재연 부대가 광성보에서 항전하였다 / 프랑스군에 의해 외규장각 도서가 약탈당하였다</t>
  </si>
  <si>
    <t>강화도 공식: 몽골 천도 ➜ 정묘호란 피난 ➜ 병인(정족산성·양헌수) ➜ 신미(광성보·어재연) ➜ 1876조약</t>
  </si>
  <si>
    <t>제68회 30번</t>
  </si>
  <si>
    <t>개성(송악) 지역사 단골 총정리</t>
  </si>
  <si>
    <t>고려 수도, 만월대(궁궐터), 선죽교(정몽주 피살), 만적의 난, 경천사지 10층탑, 남북 개성공단</t>
  </si>
  <si>
    <t>만월대 궁궐 터가 위치한다 / 정몽주가 피살된 선죽교가 남아있다 / 경천사지 10층 석탑이 조성되었다</t>
  </si>
  <si>
    <t>개성 나오면 무조건 고려 왕도! 선죽교(정몽주), 만월대, 개성공단</t>
  </si>
  <si>
    <t>제67회 22번</t>
  </si>
  <si>
    <t>공주(웅진) 지역사 단골 총정리</t>
  </si>
  <si>
    <t>백제 웅진 천도(문주왕), 무령왕릉(벽돌무덤, 지석), 공산성, 명학소의 난(망이·망소이), 우금치 전투</t>
  </si>
  <si>
    <t>무령왕릉에서 지석이 출토되어 피장자가 확인되었다 / 동학농민군이 우금치에서 격전을 벌였다</t>
  </si>
  <si>
    <t>공주 3종 세트: 백제 무령왕릉(벽돌무덤) + 고려 명학소(망이망소이) + 근대 우금치 전투</t>
  </si>
  <si>
    <t>제66회 30번</t>
  </si>
  <si>
    <t>평양(서경) 지역사 단골 총정리</t>
  </si>
  <si>
    <t>고구려 장수왕 평양 천도, 묘청의 서경 천도 운동, 제너럴 셔먼호 사건, 조만식 물산장려운동</t>
  </si>
  <si>
    <t>묘청 등이 칭제건원과 금국 정벌을 주장하였다 / 제너럴 셔먼호 침몰 사건이 일어났다</t>
  </si>
  <si>
    <t>평양 족보: 장수왕 천도 ➜ 묘청 서경천도운동 ➜ 제너럴셔먼호 ➜ 조만식 물산장려운동(1920)</t>
  </si>
  <si>
    <t>제68회 28번</t>
  </si>
  <si>
    <t>대구·부산 지역사 단골 총정리</t>
  </si>
  <si>
    <t>대구(국채보상운동 발상지, 2.28 민주의거) / 부산(송상현 동래부사 순절, 초량왜관, 최초 개항장, 피난수도)</t>
  </si>
  <si>
    <t>대구: 서상돈 등의 발의로 국채보상운동 시작 / 부산: 강화도 조약으로 최초 개항된 항구 중 하나</t>
  </si>
  <si>
    <t>대구=국채보상운동(서상돈) / 부산=임진왜란 동래성 송상현 + 최초 개항(1876) + 6.25 피난수도</t>
  </si>
  <si>
    <t>제65회 33번</t>
  </si>
  <si>
    <t>고난도 순서</t>
  </si>
  <si>
    <t>8번</t>
  </si>
  <si>
    <t>신라 하대 왕위 쟁탈 및 농민 봉기 순서</t>
  </si>
  <si>
    <t>혜공왕 피살(780) ➜ 원성왕 독서삼품과 ➜ 김헌창의 난(822) ➜ 장보고 청해진(828) ➜ 원종·애노의 난(889)</t>
  </si>
  <si>
    <t>김헌창이 국호를 장안, 연호를 경운이라 하며 반란을 일으켰다 / 원종과 애노가 사벌주에서 봉기하였다</t>
  </si>
  <si>
    <t>신라 하대 순서: 혜공왕 피살 ➜ 원성왕 독서삼품과 ➜ 김헌창 난 ➜ 장보고 청해진 ➜ 원종애노 난 ➜ 최치원 시무10조</t>
  </si>
  <si>
    <t>21~24번</t>
  </si>
  <si>
    <t>조선 4대 사화 및 붕당 분열 순서</t>
  </si>
  <si>
    <t>무오사화(김종직 조의제문) ➜ 갑자사화(폐비윤씨) ➜ 기묘사화(조광조 위훈삭제) ➜ 을사사화(대윤/소윤)</t>
  </si>
  <si>
    <t>조광조 등 사림이 현량과 실시 및 위훈 삭제를 주장하다 화를 입었다 (기묘사화)</t>
  </si>
  <si>
    <t>사화 순서: 무(무오) ➜ 갑(갑자) ➜ 기(기묘) ➜ 을(을사)! 이후 동/서 분당 ➜ 기축옥사 ➜ 남/북 분열</t>
  </si>
  <si>
    <t>제66회 22번</t>
  </si>
  <si>
    <t>24~26번</t>
  </si>
  <si>
    <t>조선 숙종 환국 정치 순서</t>
  </si>
  <si>
    <t>경신환국(허적 유악 사건, 서인 집권) ➜ 기사환국(장희빈 원자 책봉, 남인 집권) ➜ 갑술환국(인현왕후 복위, 서인 재집권)</t>
  </si>
  <si>
    <t>기사환국: 송시열이 원자 책봉에 반대하다 사사되었다 / 갑술환국: 서인이 노론과 소론으로 갈라졌다</t>
  </si>
  <si>
    <t>환국 순서 암기: 경(경신:서인) ➜ 기(기사:남인) ➜ 갑(갑술:서인)! "경기갑"으로 외우면 1초 컷</t>
  </si>
  <si>
    <t>제68회 24번</t>
  </si>
  <si>
    <t>1920년대 만주 무장 독립운동 전개 순서</t>
  </si>
  <si>
    <t>봉오동(1920.6) ➜ 청산리(1920.10) ➜ 간도참변 ➜ 자유시 참변(1921) ➜ 3부 성립 ➜ 미쓰야 협정(1925) ➜ 3부 통합</t>
  </si>
  <si>
    <t>미쓰야 협정을 맺어 만주 군벌과 일제가 독립군을 탄압하였다 / 참의부·정의부·신민부의 3부를 결성하였다</t>
  </si>
  <si>
    <t>20년대 만주 순서: 봉(봉오동) ➜ 청(청산리) ➜ 간(간도) ➜ 자(자유시) ➜ 3부 ➜ 미(미쓰야) ➜ 통합</t>
  </si>
  <si>
    <t>44번</t>
  </si>
  <si>
    <t>1930년대 초 만주 한중 연합작전 부대 매칭</t>
  </si>
  <si>
    <t>북만주: 한국독립군(지청천)+중국 호로군 / 남만주: 조선혁명군(양세봉)+중국 의용군</t>
  </si>
  <si>
    <t>한국독립군: 쌍성보·대전자령·사도고자 승리 / 조선혁명군: 영릉가·흥경성 전투 승리</t>
  </si>
  <si>
    <t>★절대공식: [북만주] 지청천-한국독립군-중국호로군-쌍성보대전자령 ("북한지호 쌍대") / [남만주] 양세봉-조선혁명군-중국의용군-영릉가흥경성 ("남조양의 영흥")</t>
  </si>
  <si>
    <t>제68회 44번</t>
  </si>
  <si>
    <t>48~50번</t>
  </si>
  <si>
    <t>대한민국 1~9차 헌법 개정사 핵심 순서</t>
  </si>
  <si>
    <t>1차 발췌(1952 직선제) ➜ 2차 사사오입(1954 중임철폐) ➜ 3차(1960 내각제) ➜ 7차 유신(1972 간선) ➜ 9차(1987 현행 5년단임 직선제)</t>
  </si>
  <si>
    <t>발췌개헌: 부산 정치 파동으로 통과 / 사사오입: 초대 대통령에 한해 중임 제한 철폐 / 9차: 5년 단임 대통령 직선제</t>
  </si>
  <si>
    <t>개헌 핵심 족보: 1차(발췌직선) ➜ 2차(사사오입) ➜ 3차(내각책임제) ➜ 7차(유신간선) ➜ 8차(7년단임) ➜ 9차(5년단임직선)</t>
  </si>
  <si>
    <t>제68회 48번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</si>
</sst>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2F5597"/>
      <name val="맑은 고딕"/>
      <family val="3"/>
      <charset val="129"/>
    </font>
    <font>
      <b/>
      <u/>
      <sz val="10"/>
      <color rgb="FF0563C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C00000"/>
        <bgColor rgb="FFC00000"/>
      </patternFill>
    </fill>
    <fill>
      <patternFill patternType="solid">
        <fgColor rgb="FFFFF2F2"/>
        <bgColor rgb="FFFFF2F2"/>
      </patternFill>
    </fill>
    <fill>
      <patternFill patternType="solid">
        <fgColor rgb="FF1F4E79"/>
        <bgColor rgb="FF1F4E79"/>
      </patternFill>
    </fill>
    <fill>
      <patternFill patternType="solid">
        <fgColor rgb="FFC00000"/>
        <bgColor rgb="FFC0000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zoomScale="145" zoomScaleNormal="145" workbookViewId="0">
      <selection activeCell="D7" sqref="D7"/>
    </sheetView>
  </sheetViews>
  <sheetFormatPr defaultRowHeight="17" x14ac:dyDescent="0.45"/>
  <cols>
    <col min="1" max="1" width="15" customWidth="1"/>
    <col min="2" max="2" width="10" customWidth="1"/>
    <col min="3" max="3" width="26" customWidth="1"/>
    <col min="4" max="4" width="38" customWidth="1"/>
    <col min="5" max="5" width="48" customWidth="1"/>
    <col min="6" max="6" width="15" customWidth="1"/>
    <col min="7" max="7" width="38" customWidth="1"/>
    <col min="8" max="8" width="18" customWidth="1"/>
    <col min="9" max="9" width="22" customWidth="1"/>
    <col min="10" max="10" width="18" customWidth="1"/>
  </cols>
  <sheetData>
    <row r="1" spans="1:9" ht="2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6" t="s">
        <v>7</v>
      </c>
      <c r="I1" s="26" t="s">
        <v>8</v>
      </c>
    </row>
    <row r="2" spans="1:9" ht="36" customHeight="1" x14ac:dyDescent="0.45">
      <c r="A2" s="2" t="s">
        <v>9</v>
      </c>
      <c r="B2" s="2" t="s">
        <v>10</v>
      </c>
      <c r="C2" s="3" t="s">
        <v>11</v>
      </c>
      <c r="D2" s="4" t="s">
        <v>12</v>
      </c>
      <c r="E2" s="4" t="s">
        <v>13</v>
      </c>
      <c r="F2" s="5" t="s">
        <v>14</v>
      </c>
      <c r="G2" s="4" t="s">
        <v>15</v>
      </c>
      <c r="H2" s="27" t="s">
        <v>16</v>
      </c>
      <c r="I2" s="28" t="str">
        <f>HYPERLINK("http://localhost:8765/cbt_player.html?q=1", "📝 Q1번 CBT 풀기")</f>
        <v>📝 Q1번 CBT 풀기</v>
      </c>
    </row>
    <row r="3" spans="1:9" ht="36" customHeight="1" x14ac:dyDescent="0.45">
      <c r="A3" s="6" t="s">
        <v>9</v>
      </c>
      <c r="B3" s="6" t="s">
        <v>10</v>
      </c>
      <c r="C3" s="7" t="s">
        <v>17</v>
      </c>
      <c r="D3" s="8" t="s">
        <v>18</v>
      </c>
      <c r="E3" s="8" t="s">
        <v>19</v>
      </c>
      <c r="F3" s="9" t="s">
        <v>20</v>
      </c>
      <c r="G3" s="8" t="s">
        <v>21</v>
      </c>
      <c r="H3" s="27" t="s">
        <v>16</v>
      </c>
      <c r="I3" s="28" t="str">
        <f>HYPERLINK("http://localhost:8765/cbt_player.html?q=2", "📝 Q2번 CBT 풀기")</f>
        <v>📝 Q2번 CBT 풀기</v>
      </c>
    </row>
    <row r="4" spans="1:9" ht="36" customHeight="1" x14ac:dyDescent="0.45">
      <c r="A4" s="2" t="s">
        <v>9</v>
      </c>
      <c r="B4" s="2" t="s">
        <v>10</v>
      </c>
      <c r="C4" s="3" t="s">
        <v>22</v>
      </c>
      <c r="D4" s="4" t="s">
        <v>23</v>
      </c>
      <c r="E4" s="4" t="s">
        <v>24</v>
      </c>
      <c r="F4" s="5" t="s">
        <v>20</v>
      </c>
      <c r="G4" s="4" t="s">
        <v>25</v>
      </c>
      <c r="H4" s="27" t="s">
        <v>16</v>
      </c>
      <c r="I4" s="28" t="str">
        <f>HYPERLINK("http://localhost:8765/cbt_player.html?q=3", "📝 Q3번 CBT 풀기")</f>
        <v>📝 Q3번 CBT 풀기</v>
      </c>
    </row>
    <row r="5" spans="1:9" ht="36" customHeight="1" x14ac:dyDescent="0.45">
      <c r="A5" s="6" t="s">
        <v>9</v>
      </c>
      <c r="B5" s="6" t="s">
        <v>10</v>
      </c>
      <c r="C5" s="7" t="s">
        <v>26</v>
      </c>
      <c r="D5" s="8" t="s">
        <v>27</v>
      </c>
      <c r="E5" s="8" t="s">
        <v>28</v>
      </c>
      <c r="F5" s="9" t="s">
        <v>14</v>
      </c>
      <c r="G5" s="8" t="s">
        <v>29</v>
      </c>
      <c r="H5" s="27" t="s">
        <v>16</v>
      </c>
      <c r="I5" s="28" t="str">
        <f>HYPERLINK("http://localhost:8765/cbt_player.html?q=4", "📝 Q4번 CBT 풀기")</f>
        <v>📝 Q4번 CBT 풀기</v>
      </c>
    </row>
    <row r="6" spans="1:9" ht="36" customHeight="1" x14ac:dyDescent="0.45">
      <c r="A6" s="2" t="s">
        <v>9</v>
      </c>
      <c r="B6" s="2" t="s">
        <v>30</v>
      </c>
      <c r="C6" s="3" t="s">
        <v>31</v>
      </c>
      <c r="D6" s="4" t="s">
        <v>32</v>
      </c>
      <c r="E6" s="4" t="s">
        <v>33</v>
      </c>
      <c r="F6" s="5" t="s">
        <v>20</v>
      </c>
      <c r="G6" s="4" t="s">
        <v>34</v>
      </c>
      <c r="H6" s="27" t="s">
        <v>16</v>
      </c>
      <c r="I6" s="28" t="str">
        <f>HYPERLINK("http://localhost:8765/cbt_player.html?q=5", "📝 Q5번 CBT 풀기")</f>
        <v>📝 Q5번 CBT 풀기</v>
      </c>
    </row>
    <row r="7" spans="1:9" ht="36" customHeight="1" x14ac:dyDescent="0.45">
      <c r="A7" s="6" t="s">
        <v>9</v>
      </c>
      <c r="B7" s="6" t="s">
        <v>30</v>
      </c>
      <c r="C7" s="7" t="s">
        <v>35</v>
      </c>
      <c r="D7" s="8" t="s">
        <v>36</v>
      </c>
      <c r="E7" s="8" t="s">
        <v>37</v>
      </c>
      <c r="F7" s="9" t="s">
        <v>20</v>
      </c>
      <c r="G7" s="8" t="s">
        <v>38</v>
      </c>
      <c r="H7" s="27" t="s">
        <v>16</v>
      </c>
      <c r="I7" s="28" t="str">
        <f>HYPERLINK("http://localhost:8765/cbt_player.html?q=6", "📝 Q6번 CBT 풀기")</f>
        <v>📝 Q6번 CBT 풀기</v>
      </c>
    </row>
    <row r="8" spans="1:9" ht="36" customHeight="1" x14ac:dyDescent="0.45">
      <c r="A8" s="2" t="s">
        <v>9</v>
      </c>
      <c r="B8" s="2" t="s">
        <v>30</v>
      </c>
      <c r="C8" s="3" t="s">
        <v>39</v>
      </c>
      <c r="D8" s="4" t="s">
        <v>40</v>
      </c>
      <c r="E8" s="4" t="s">
        <v>41</v>
      </c>
      <c r="F8" s="5" t="s">
        <v>20</v>
      </c>
      <c r="G8" s="4" t="s">
        <v>42</v>
      </c>
      <c r="H8" s="27" t="s">
        <v>16</v>
      </c>
      <c r="I8" s="28" t="str">
        <f>HYPERLINK("http://localhost:8765/cbt_player.html?q=7", "📝 Q7번 CBT 풀기")</f>
        <v>📝 Q7번 CBT 풀기</v>
      </c>
    </row>
    <row r="9" spans="1:9" ht="36" customHeight="1" x14ac:dyDescent="0.45">
      <c r="A9" s="6" t="s">
        <v>9</v>
      </c>
      <c r="B9" s="6" t="s">
        <v>30</v>
      </c>
      <c r="C9" s="7" t="s">
        <v>43</v>
      </c>
      <c r="D9" s="8" t="s">
        <v>44</v>
      </c>
      <c r="E9" s="8" t="s">
        <v>45</v>
      </c>
      <c r="F9" s="9" t="s">
        <v>20</v>
      </c>
      <c r="G9" s="8" t="s">
        <v>46</v>
      </c>
      <c r="H9" s="27" t="s">
        <v>16</v>
      </c>
      <c r="I9" s="28" t="str">
        <f>HYPERLINK("http://localhost:8765/cbt_player.html?q=8", "📝 Q8번 CBT 풀기")</f>
        <v>📝 Q8번 CBT 풀기</v>
      </c>
    </row>
    <row r="10" spans="1:9" ht="36" customHeight="1" x14ac:dyDescent="0.45">
      <c r="A10" s="2" t="s">
        <v>9</v>
      </c>
      <c r="B10" s="2" t="s">
        <v>30</v>
      </c>
      <c r="C10" s="3" t="s">
        <v>47</v>
      </c>
      <c r="D10" s="4" t="s">
        <v>48</v>
      </c>
      <c r="E10" s="4" t="s">
        <v>49</v>
      </c>
      <c r="F10" s="5" t="s">
        <v>20</v>
      </c>
      <c r="G10" s="4" t="s">
        <v>50</v>
      </c>
      <c r="H10" s="27" t="s">
        <v>16</v>
      </c>
      <c r="I10" s="28" t="str">
        <f>HYPERLINK("http://localhost:8765/cbt_player.html?q=9", "📝 Q9번 CBT 풀기")</f>
        <v>📝 Q9번 CBT 풀기</v>
      </c>
    </row>
    <row r="11" spans="1:9" ht="36" customHeight="1" x14ac:dyDescent="0.45">
      <c r="A11" s="6" t="s">
        <v>9</v>
      </c>
      <c r="B11" s="6" t="s">
        <v>30</v>
      </c>
      <c r="C11" s="7" t="s">
        <v>51</v>
      </c>
      <c r="D11" s="8" t="s">
        <v>52</v>
      </c>
      <c r="E11" s="8" t="s">
        <v>53</v>
      </c>
      <c r="F11" s="9" t="s">
        <v>20</v>
      </c>
      <c r="G11" s="8" t="s">
        <v>54</v>
      </c>
      <c r="H11" s="27" t="s">
        <v>16</v>
      </c>
      <c r="I11" s="28" t="str">
        <f>HYPERLINK("http://localhost:8765/cbt_player.html?q=10", "📝 Q10번 CBT 풀기")</f>
        <v>📝 Q10번 CBT 풀기</v>
      </c>
    </row>
    <row r="12" spans="1:9" ht="36" customHeight="1" x14ac:dyDescent="0.45">
      <c r="A12" s="2" t="s">
        <v>55</v>
      </c>
      <c r="B12" s="2" t="s">
        <v>56</v>
      </c>
      <c r="C12" s="3" t="s">
        <v>57</v>
      </c>
      <c r="D12" s="4" t="s">
        <v>58</v>
      </c>
      <c r="E12" s="4" t="s">
        <v>59</v>
      </c>
      <c r="F12" s="5" t="s">
        <v>20</v>
      </c>
      <c r="G12" s="4" t="s">
        <v>60</v>
      </c>
      <c r="H12" s="27" t="s">
        <v>16</v>
      </c>
      <c r="I12" s="28" t="str">
        <f>HYPERLINK("http://localhost:8765/cbt_player.html?q=11", "📝 Q11번 CBT 풀기")</f>
        <v>📝 Q11번 CBT 풀기</v>
      </c>
    </row>
    <row r="13" spans="1:9" ht="36" customHeight="1" x14ac:dyDescent="0.45">
      <c r="A13" s="6" t="s">
        <v>55</v>
      </c>
      <c r="B13" s="6" t="s">
        <v>56</v>
      </c>
      <c r="C13" s="7" t="s">
        <v>61</v>
      </c>
      <c r="D13" s="8" t="s">
        <v>62</v>
      </c>
      <c r="E13" s="8" t="s">
        <v>63</v>
      </c>
      <c r="F13" s="9" t="s">
        <v>20</v>
      </c>
      <c r="G13" s="8" t="s">
        <v>64</v>
      </c>
      <c r="H13" s="27" t="s">
        <v>16</v>
      </c>
      <c r="I13" s="28" t="str">
        <f>HYPERLINK("http://localhost:8765/cbt_player.html?q=12", "📝 Q12번 CBT 풀기")</f>
        <v>📝 Q12번 CBT 풀기</v>
      </c>
    </row>
    <row r="14" spans="1:9" ht="36" customHeight="1" x14ac:dyDescent="0.45">
      <c r="A14" s="2" t="s">
        <v>55</v>
      </c>
      <c r="B14" s="2" t="s">
        <v>56</v>
      </c>
      <c r="C14" s="3" t="s">
        <v>65</v>
      </c>
      <c r="D14" s="4" t="s">
        <v>66</v>
      </c>
      <c r="E14" s="4" t="s">
        <v>67</v>
      </c>
      <c r="F14" s="5" t="s">
        <v>20</v>
      </c>
      <c r="G14" s="4" t="s">
        <v>68</v>
      </c>
      <c r="H14" s="27" t="s">
        <v>16</v>
      </c>
      <c r="I14" s="28" t="str">
        <f>HYPERLINK("http://localhost:8765/cbt_player.html?q=13", "📝 Q13번 CBT 풀기")</f>
        <v>📝 Q13번 CBT 풀기</v>
      </c>
    </row>
    <row r="15" spans="1:9" ht="36" customHeight="1" x14ac:dyDescent="0.45">
      <c r="A15" s="6" t="s">
        <v>55</v>
      </c>
      <c r="B15" s="6" t="s">
        <v>56</v>
      </c>
      <c r="C15" s="7" t="s">
        <v>69</v>
      </c>
      <c r="D15" s="8" t="s">
        <v>70</v>
      </c>
      <c r="E15" s="8" t="s">
        <v>71</v>
      </c>
      <c r="F15" s="9" t="s">
        <v>20</v>
      </c>
      <c r="G15" s="8" t="s">
        <v>72</v>
      </c>
      <c r="H15" s="27" t="s">
        <v>16</v>
      </c>
      <c r="I15" s="28" t="str">
        <f>HYPERLINK("http://localhost:8765/cbt_player.html?q=14", "📝 Q14번 CBT 풀기")</f>
        <v>📝 Q14번 CBT 풀기</v>
      </c>
    </row>
    <row r="16" spans="1:9" ht="36" customHeight="1" x14ac:dyDescent="0.45">
      <c r="A16" s="2" t="s">
        <v>55</v>
      </c>
      <c r="B16" s="2" t="s">
        <v>73</v>
      </c>
      <c r="C16" s="3" t="s">
        <v>74</v>
      </c>
      <c r="D16" s="4" t="s">
        <v>75</v>
      </c>
      <c r="E16" s="4" t="s">
        <v>76</v>
      </c>
      <c r="F16" s="5" t="s">
        <v>20</v>
      </c>
      <c r="G16" s="4" t="s">
        <v>77</v>
      </c>
      <c r="H16" s="27" t="s">
        <v>16</v>
      </c>
      <c r="I16" s="28" t="str">
        <f>HYPERLINK("http://localhost:8765/cbt_player.html?q=15", "📝 Q15번 CBT 풀기")</f>
        <v>📝 Q15번 CBT 풀기</v>
      </c>
    </row>
    <row r="17" spans="1:9" ht="36" customHeight="1" x14ac:dyDescent="0.45">
      <c r="A17" s="6" t="s">
        <v>55</v>
      </c>
      <c r="B17" s="6" t="s">
        <v>73</v>
      </c>
      <c r="C17" s="7" t="s">
        <v>78</v>
      </c>
      <c r="D17" s="8" t="s">
        <v>79</v>
      </c>
      <c r="E17" s="8" t="s">
        <v>80</v>
      </c>
      <c r="F17" s="9" t="s">
        <v>20</v>
      </c>
      <c r="G17" s="8" t="s">
        <v>81</v>
      </c>
      <c r="H17" s="27" t="s">
        <v>16</v>
      </c>
      <c r="I17" s="28" t="str">
        <f>HYPERLINK("http://localhost:8765/cbt_player.html?q=16", "📝 Q16번 CBT 풀기")</f>
        <v>📝 Q16번 CBT 풀기</v>
      </c>
    </row>
    <row r="18" spans="1:9" ht="36" customHeight="1" x14ac:dyDescent="0.45">
      <c r="A18" s="2" t="s">
        <v>55</v>
      </c>
      <c r="B18" s="2" t="s">
        <v>82</v>
      </c>
      <c r="C18" s="3" t="s">
        <v>83</v>
      </c>
      <c r="D18" s="4" t="s">
        <v>84</v>
      </c>
      <c r="E18" s="4" t="s">
        <v>85</v>
      </c>
      <c r="F18" s="5" t="s">
        <v>20</v>
      </c>
      <c r="G18" s="4" t="s">
        <v>86</v>
      </c>
      <c r="H18" s="27" t="s">
        <v>16</v>
      </c>
      <c r="I18" s="28" t="str">
        <f>HYPERLINK("http://localhost:8765/cbt_player.html?q=17", "📝 Q17번 CBT 풀기")</f>
        <v>📝 Q17번 CBT 풀기</v>
      </c>
    </row>
    <row r="19" spans="1:9" ht="36" customHeight="1" x14ac:dyDescent="0.45">
      <c r="A19" s="6" t="s">
        <v>55</v>
      </c>
      <c r="B19" s="6" t="s">
        <v>87</v>
      </c>
      <c r="C19" s="7" t="s">
        <v>88</v>
      </c>
      <c r="D19" s="8" t="s">
        <v>89</v>
      </c>
      <c r="E19" s="8" t="s">
        <v>90</v>
      </c>
      <c r="F19" s="9" t="s">
        <v>14</v>
      </c>
      <c r="G19" s="8" t="s">
        <v>91</v>
      </c>
      <c r="H19" s="27" t="s">
        <v>92</v>
      </c>
      <c r="I19" s="28" t="str">
        <f>HYPERLINK("http://localhost:8765/cbt_player.html?q=18", "📝 Q18번 CBT 풀기")</f>
        <v>📝 Q18번 CBT 풀기</v>
      </c>
    </row>
    <row r="20" spans="1:9" ht="36" customHeight="1" x14ac:dyDescent="0.45">
      <c r="A20" s="2" t="s">
        <v>55</v>
      </c>
      <c r="B20" s="2" t="s">
        <v>87</v>
      </c>
      <c r="C20" s="3" t="s">
        <v>93</v>
      </c>
      <c r="D20" s="4" t="s">
        <v>94</v>
      </c>
      <c r="E20" s="4" t="s">
        <v>95</v>
      </c>
      <c r="F20" s="5" t="s">
        <v>20</v>
      </c>
      <c r="G20" s="4" t="s">
        <v>96</v>
      </c>
      <c r="H20" s="27" t="s">
        <v>16</v>
      </c>
      <c r="I20" s="28" t="str">
        <f>HYPERLINK("http://localhost:8765/cbt_player.html?q=19", "📝 Q19번 CBT 풀기")</f>
        <v>📝 Q19번 CBT 풀기</v>
      </c>
    </row>
    <row r="21" spans="1:9" ht="36" customHeight="1" x14ac:dyDescent="0.45">
      <c r="A21" s="6" t="s">
        <v>55</v>
      </c>
      <c r="B21" s="6" t="s">
        <v>87</v>
      </c>
      <c r="C21" s="7" t="s">
        <v>97</v>
      </c>
      <c r="D21" s="8" t="s">
        <v>98</v>
      </c>
      <c r="E21" s="8" t="s">
        <v>99</v>
      </c>
      <c r="F21" s="9" t="s">
        <v>20</v>
      </c>
      <c r="G21" s="8" t="s">
        <v>100</v>
      </c>
      <c r="H21" s="27" t="s">
        <v>16</v>
      </c>
      <c r="I21" s="28" t="str">
        <f>HYPERLINK("http://localhost:8765/cbt_player.html?q=20", "📝 Q20번 CBT 풀기")</f>
        <v>📝 Q20번 CBT 풀기</v>
      </c>
    </row>
    <row r="22" spans="1:9" ht="36" customHeight="1" x14ac:dyDescent="0.45">
      <c r="A22" s="2" t="s">
        <v>101</v>
      </c>
      <c r="B22" s="2" t="s">
        <v>102</v>
      </c>
      <c r="C22" s="3" t="s">
        <v>103</v>
      </c>
      <c r="D22" s="4" t="s">
        <v>104</v>
      </c>
      <c r="E22" s="4" t="s">
        <v>105</v>
      </c>
      <c r="F22" s="5" t="s">
        <v>20</v>
      </c>
      <c r="G22" s="4" t="s">
        <v>106</v>
      </c>
      <c r="H22" s="27" t="s">
        <v>107</v>
      </c>
      <c r="I22" s="28" t="str">
        <f>HYPERLINK("http://localhost:8765/cbt_player.html?q=21", "📝 Q21번 CBT 풀기")</f>
        <v>📝 Q21번 CBT 풀기</v>
      </c>
    </row>
    <row r="23" spans="1:9" ht="36" customHeight="1" x14ac:dyDescent="0.45">
      <c r="A23" s="6" t="s">
        <v>101</v>
      </c>
      <c r="B23" s="6" t="s">
        <v>108</v>
      </c>
      <c r="C23" s="7" t="s">
        <v>109</v>
      </c>
      <c r="D23" s="8" t="s">
        <v>110</v>
      </c>
      <c r="E23" s="8" t="s">
        <v>111</v>
      </c>
      <c r="F23" s="9" t="s">
        <v>20</v>
      </c>
      <c r="G23" s="8" t="s">
        <v>112</v>
      </c>
      <c r="H23" s="27" t="s">
        <v>113</v>
      </c>
      <c r="I23" s="28" t="str">
        <f>HYPERLINK("http://localhost:8765/cbt_player.html?q=22", "📝 Q22번 CBT 풀기")</f>
        <v>📝 Q22번 CBT 풀기</v>
      </c>
    </row>
    <row r="24" spans="1:9" ht="36" customHeight="1" x14ac:dyDescent="0.45">
      <c r="A24" s="2" t="s">
        <v>101</v>
      </c>
      <c r="B24" s="2" t="s">
        <v>114</v>
      </c>
      <c r="C24" s="3" t="s">
        <v>115</v>
      </c>
      <c r="D24" s="4" t="s">
        <v>116</v>
      </c>
      <c r="E24" s="4" t="s">
        <v>117</v>
      </c>
      <c r="F24" s="5" t="s">
        <v>20</v>
      </c>
      <c r="G24" s="4" t="s">
        <v>118</v>
      </c>
      <c r="H24" s="27" t="s">
        <v>119</v>
      </c>
      <c r="I24" s="28" t="str">
        <f>HYPERLINK("http://localhost:8765/cbt_player.html?q=23", "📝 Q23번 CBT 풀기")</f>
        <v>📝 Q23번 CBT 풀기</v>
      </c>
    </row>
    <row r="25" spans="1:9" ht="36" customHeight="1" x14ac:dyDescent="0.45">
      <c r="A25" s="6" t="s">
        <v>101</v>
      </c>
      <c r="B25" s="6" t="s">
        <v>120</v>
      </c>
      <c r="C25" s="7" t="s">
        <v>121</v>
      </c>
      <c r="D25" s="8" t="s">
        <v>122</v>
      </c>
      <c r="E25" s="8" t="s">
        <v>123</v>
      </c>
      <c r="F25" s="9" t="s">
        <v>20</v>
      </c>
      <c r="G25" s="8" t="s">
        <v>124</v>
      </c>
      <c r="H25" s="27" t="s">
        <v>125</v>
      </c>
      <c r="I25" s="28" t="str">
        <f>HYPERLINK("http://localhost:8765/cbt_player.html?q=24", "📝 Q24번 CBT 풀기")</f>
        <v>📝 Q24번 CBT 풀기</v>
      </c>
    </row>
    <row r="26" spans="1:9" ht="36" customHeight="1" x14ac:dyDescent="0.45">
      <c r="A26" s="2" t="s">
        <v>101</v>
      </c>
      <c r="B26" s="2" t="s">
        <v>120</v>
      </c>
      <c r="C26" s="3" t="s">
        <v>126</v>
      </c>
      <c r="D26" s="4" t="s">
        <v>127</v>
      </c>
      <c r="E26" s="4" t="s">
        <v>128</v>
      </c>
      <c r="F26" s="5" t="s">
        <v>20</v>
      </c>
      <c r="G26" s="4" t="s">
        <v>129</v>
      </c>
      <c r="H26" s="27" t="s">
        <v>130</v>
      </c>
      <c r="I26" s="28" t="str">
        <f>HYPERLINK("http://localhost:8765/cbt_player.html?q=25", "📝 Q25번 CBT 풀기")</f>
        <v>📝 Q25번 CBT 풀기</v>
      </c>
    </row>
    <row r="27" spans="1:9" ht="36" customHeight="1" x14ac:dyDescent="0.45">
      <c r="A27" s="6" t="s">
        <v>101</v>
      </c>
      <c r="B27" s="6" t="s">
        <v>131</v>
      </c>
      <c r="C27" s="7" t="s">
        <v>132</v>
      </c>
      <c r="D27" s="8" t="s">
        <v>133</v>
      </c>
      <c r="E27" s="8" t="s">
        <v>134</v>
      </c>
      <c r="F27" s="9" t="s">
        <v>20</v>
      </c>
      <c r="G27" s="8" t="s">
        <v>135</v>
      </c>
      <c r="H27" s="27" t="s">
        <v>136</v>
      </c>
      <c r="I27" s="28" t="str">
        <f>HYPERLINK("http://localhost:8765/cbt_player.html?q=26", "📝 Q26번 CBT 풀기")</f>
        <v>📝 Q26번 CBT 풀기</v>
      </c>
    </row>
    <row r="28" spans="1:9" ht="36" customHeight="1" x14ac:dyDescent="0.45">
      <c r="A28" s="2" t="s">
        <v>101</v>
      </c>
      <c r="B28" s="2" t="s">
        <v>137</v>
      </c>
      <c r="C28" s="3" t="s">
        <v>138</v>
      </c>
      <c r="D28" s="4" t="s">
        <v>139</v>
      </c>
      <c r="E28" s="4" t="s">
        <v>140</v>
      </c>
      <c r="F28" s="5" t="s">
        <v>20</v>
      </c>
      <c r="G28" s="4" t="s">
        <v>141</v>
      </c>
      <c r="H28" s="27" t="s">
        <v>142</v>
      </c>
      <c r="I28" s="28" t="str">
        <f>HYPERLINK("http://localhost:8765/cbt_player.html?q=27", "📝 Q27번 CBT 풀기")</f>
        <v>📝 Q27번 CBT 풀기</v>
      </c>
    </row>
    <row r="29" spans="1:9" ht="36" customHeight="1" x14ac:dyDescent="0.45">
      <c r="A29" s="6" t="s">
        <v>101</v>
      </c>
      <c r="B29" s="6" t="s">
        <v>143</v>
      </c>
      <c r="C29" s="7" t="s">
        <v>144</v>
      </c>
      <c r="D29" s="8" t="s">
        <v>145</v>
      </c>
      <c r="E29" s="8" t="s">
        <v>146</v>
      </c>
      <c r="F29" s="9" t="s">
        <v>20</v>
      </c>
      <c r="G29" s="8" t="s">
        <v>147</v>
      </c>
      <c r="H29" s="27" t="s">
        <v>148</v>
      </c>
      <c r="I29" s="28" t="str">
        <f>HYPERLINK("http://localhost:8765/cbt_player.html?q=28", "📝 Q28번 CBT 풀기")</f>
        <v>📝 Q28번 CBT 풀기</v>
      </c>
    </row>
    <row r="30" spans="1:9" ht="36" customHeight="1" x14ac:dyDescent="0.45">
      <c r="A30" s="2" t="s">
        <v>149</v>
      </c>
      <c r="B30" s="2" t="s">
        <v>150</v>
      </c>
      <c r="C30" s="3" t="s">
        <v>151</v>
      </c>
      <c r="D30" s="4" t="s">
        <v>152</v>
      </c>
      <c r="E30" s="4" t="s">
        <v>153</v>
      </c>
      <c r="F30" s="5" t="s">
        <v>20</v>
      </c>
      <c r="G30" s="4" t="s">
        <v>154</v>
      </c>
      <c r="H30" s="27" t="s">
        <v>155</v>
      </c>
      <c r="I30" s="28" t="str">
        <f>HYPERLINK("http://localhost:8765/cbt_player.html?q=29", "📝 Q29번 CBT 풀기")</f>
        <v>📝 Q29번 CBT 풀기</v>
      </c>
    </row>
    <row r="31" spans="1:9" ht="36" customHeight="1" x14ac:dyDescent="0.45">
      <c r="A31" s="6" t="s">
        <v>149</v>
      </c>
      <c r="B31" s="6" t="s">
        <v>150</v>
      </c>
      <c r="C31" s="7" t="s">
        <v>156</v>
      </c>
      <c r="D31" s="8" t="s">
        <v>157</v>
      </c>
      <c r="E31" s="8" t="s">
        <v>158</v>
      </c>
      <c r="F31" s="9" t="s">
        <v>20</v>
      </c>
      <c r="G31" s="8" t="s">
        <v>159</v>
      </c>
      <c r="H31" s="27" t="s">
        <v>160</v>
      </c>
      <c r="I31" s="28" t="str">
        <f>HYPERLINK("http://localhost:8765/cbt_player.html?q=30", "📝 Q30번 CBT 풀기")</f>
        <v>📝 Q30번 CBT 풀기</v>
      </c>
    </row>
    <row r="32" spans="1:9" ht="36" customHeight="1" x14ac:dyDescent="0.45">
      <c r="A32" s="2" t="s">
        <v>149</v>
      </c>
      <c r="B32" s="2" t="s">
        <v>161</v>
      </c>
      <c r="C32" s="3" t="s">
        <v>162</v>
      </c>
      <c r="D32" s="4" t="s">
        <v>163</v>
      </c>
      <c r="E32" s="4" t="s">
        <v>164</v>
      </c>
      <c r="F32" s="5" t="s">
        <v>20</v>
      </c>
      <c r="G32" s="4" t="s">
        <v>165</v>
      </c>
      <c r="H32" s="27" t="s">
        <v>166</v>
      </c>
      <c r="I32" s="28" t="str">
        <f>HYPERLINK("http://localhost:8765/cbt_player.html?q=31", "📝 Q31번 CBT 풀기")</f>
        <v>📝 Q31번 CBT 풀기</v>
      </c>
    </row>
    <row r="33" spans="1:9" ht="36" customHeight="1" x14ac:dyDescent="0.45">
      <c r="A33" s="6" t="s">
        <v>149</v>
      </c>
      <c r="B33" s="6" t="s">
        <v>161</v>
      </c>
      <c r="C33" s="7" t="s">
        <v>167</v>
      </c>
      <c r="D33" s="8" t="s">
        <v>168</v>
      </c>
      <c r="E33" s="8" t="s">
        <v>169</v>
      </c>
      <c r="F33" s="9" t="s">
        <v>20</v>
      </c>
      <c r="G33" s="8" t="s">
        <v>170</v>
      </c>
      <c r="H33" s="27" t="s">
        <v>119</v>
      </c>
      <c r="I33" s="28" t="str">
        <f>HYPERLINK("http://localhost:8765/cbt_player.html?q=32", "📝 Q32번 CBT 풀기")</f>
        <v>📝 Q32번 CBT 풀기</v>
      </c>
    </row>
    <row r="34" spans="1:9" ht="36" customHeight="1" x14ac:dyDescent="0.45">
      <c r="A34" s="2" t="s">
        <v>149</v>
      </c>
      <c r="B34" s="2" t="s">
        <v>171</v>
      </c>
      <c r="C34" s="3" t="s">
        <v>172</v>
      </c>
      <c r="D34" s="4" t="s">
        <v>173</v>
      </c>
      <c r="E34" s="4" t="s">
        <v>174</v>
      </c>
      <c r="F34" s="5" t="s">
        <v>20</v>
      </c>
      <c r="G34" s="4" t="s">
        <v>175</v>
      </c>
      <c r="H34" s="27" t="s">
        <v>176</v>
      </c>
      <c r="I34" s="28" t="str">
        <f>HYPERLINK("http://localhost:8765/cbt_player.html?q=33", "📝 Q33번 CBT 풀기")</f>
        <v>📝 Q33번 CBT 풀기</v>
      </c>
    </row>
    <row r="35" spans="1:9" ht="36" customHeight="1" x14ac:dyDescent="0.45">
      <c r="A35" s="6" t="s">
        <v>149</v>
      </c>
      <c r="B35" s="6" t="s">
        <v>177</v>
      </c>
      <c r="C35" s="7" t="s">
        <v>178</v>
      </c>
      <c r="D35" s="8" t="s">
        <v>179</v>
      </c>
      <c r="E35" s="8" t="s">
        <v>180</v>
      </c>
      <c r="F35" s="9" t="s">
        <v>20</v>
      </c>
      <c r="G35" s="8" t="s">
        <v>181</v>
      </c>
      <c r="H35" s="27" t="s">
        <v>182</v>
      </c>
      <c r="I35" s="28" t="str">
        <f>HYPERLINK("http://localhost:8765/cbt_player.html?q=34", "📝 Q34번 CBT 풀기")</f>
        <v>📝 Q34번 CBT 풀기</v>
      </c>
    </row>
    <row r="36" spans="1:9" ht="36" customHeight="1" x14ac:dyDescent="0.45">
      <c r="A36" s="2" t="s">
        <v>149</v>
      </c>
      <c r="B36" s="2" t="s">
        <v>183</v>
      </c>
      <c r="C36" s="3" t="s">
        <v>184</v>
      </c>
      <c r="D36" s="4" t="s">
        <v>185</v>
      </c>
      <c r="E36" s="4" t="s">
        <v>186</v>
      </c>
      <c r="F36" s="5" t="s">
        <v>20</v>
      </c>
      <c r="G36" s="4" t="s">
        <v>187</v>
      </c>
      <c r="H36" s="27" t="s">
        <v>188</v>
      </c>
      <c r="I36" s="28" t="str">
        <f>HYPERLINK("http://localhost:8765/cbt_player.html?q=35", "📝 Q35번 CBT 풀기")</f>
        <v>📝 Q35번 CBT 풀기</v>
      </c>
    </row>
    <row r="37" spans="1:9" ht="36" customHeight="1" x14ac:dyDescent="0.45">
      <c r="A37" s="6" t="s">
        <v>149</v>
      </c>
      <c r="B37" s="6" t="s">
        <v>189</v>
      </c>
      <c r="C37" s="7" t="s">
        <v>190</v>
      </c>
      <c r="D37" s="8" t="s">
        <v>191</v>
      </c>
      <c r="E37" s="8" t="s">
        <v>192</v>
      </c>
      <c r="F37" s="9" t="s">
        <v>20</v>
      </c>
      <c r="G37" s="8" t="s">
        <v>193</v>
      </c>
      <c r="H37" s="27" t="s">
        <v>194</v>
      </c>
      <c r="I37" s="28" t="str">
        <f>HYPERLINK("http://localhost:8765/cbt_player.html?q=36", "📝 Q36번 CBT 풀기")</f>
        <v>📝 Q36번 CBT 풀기</v>
      </c>
    </row>
    <row r="38" spans="1:9" ht="36" customHeight="1" x14ac:dyDescent="0.45">
      <c r="A38" s="2" t="s">
        <v>149</v>
      </c>
      <c r="B38" s="2" t="s">
        <v>195</v>
      </c>
      <c r="C38" s="3" t="s">
        <v>196</v>
      </c>
      <c r="D38" s="4" t="s">
        <v>197</v>
      </c>
      <c r="E38" s="4" t="s">
        <v>198</v>
      </c>
      <c r="F38" s="5" t="s">
        <v>20</v>
      </c>
      <c r="G38" s="4" t="s">
        <v>199</v>
      </c>
      <c r="H38" s="27" t="s">
        <v>200</v>
      </c>
      <c r="I38" s="28" t="str">
        <f>HYPERLINK("http://localhost:8765/cbt_player.html?q=37", "📝 Q37번 CBT 풀기")</f>
        <v>📝 Q37번 CBT 풀기</v>
      </c>
    </row>
    <row r="39" spans="1:9" ht="36" customHeight="1" x14ac:dyDescent="0.45">
      <c r="A39" s="6" t="s">
        <v>149</v>
      </c>
      <c r="B39" s="6" t="s">
        <v>195</v>
      </c>
      <c r="C39" s="7" t="s">
        <v>201</v>
      </c>
      <c r="D39" s="8" t="s">
        <v>202</v>
      </c>
      <c r="E39" s="8" t="s">
        <v>203</v>
      </c>
      <c r="F39" s="9" t="s">
        <v>20</v>
      </c>
      <c r="G39" s="8" t="s">
        <v>204</v>
      </c>
      <c r="H39" s="27" t="s">
        <v>205</v>
      </c>
      <c r="I39" s="28" t="str">
        <f>HYPERLINK("http://localhost:8765/cbt_player.html?q=38", "📝 Q38번 CBT 풀기")</f>
        <v>📝 Q38번 CBT 풀기</v>
      </c>
    </row>
    <row r="40" spans="1:9" ht="36" customHeight="1" x14ac:dyDescent="0.45">
      <c r="A40" s="2" t="s">
        <v>206</v>
      </c>
      <c r="B40" s="2" t="s">
        <v>207</v>
      </c>
      <c r="C40" s="3" t="s">
        <v>208</v>
      </c>
      <c r="D40" s="4" t="s">
        <v>209</v>
      </c>
      <c r="E40" s="4" t="s">
        <v>210</v>
      </c>
      <c r="F40" s="5" t="s">
        <v>20</v>
      </c>
      <c r="G40" s="4" t="s">
        <v>211</v>
      </c>
      <c r="H40" s="27" t="s">
        <v>212</v>
      </c>
      <c r="I40" s="28" t="str">
        <f>HYPERLINK("http://localhost:8765/cbt_player.html?q=39", "📝 Q39번 CBT 풀기")</f>
        <v>📝 Q39번 CBT 풀기</v>
      </c>
    </row>
    <row r="41" spans="1:9" ht="36" customHeight="1" x14ac:dyDescent="0.45">
      <c r="A41" s="6" t="s">
        <v>206</v>
      </c>
      <c r="B41" s="6" t="s">
        <v>207</v>
      </c>
      <c r="C41" s="7" t="s">
        <v>213</v>
      </c>
      <c r="D41" s="8" t="s">
        <v>214</v>
      </c>
      <c r="E41" s="8" t="s">
        <v>215</v>
      </c>
      <c r="F41" s="9" t="s">
        <v>20</v>
      </c>
      <c r="G41" s="8" t="s">
        <v>216</v>
      </c>
      <c r="H41" s="27" t="s">
        <v>217</v>
      </c>
      <c r="I41" s="28" t="str">
        <f>HYPERLINK("http://localhost:8765/cbt_player.html?q=40", "📝 Q40번 CBT 풀기")</f>
        <v>📝 Q40번 CBT 풀기</v>
      </c>
    </row>
    <row r="42" spans="1:9" ht="36" customHeight="1" x14ac:dyDescent="0.45">
      <c r="A42" s="2" t="s">
        <v>206</v>
      </c>
      <c r="B42" s="2" t="s">
        <v>218</v>
      </c>
      <c r="C42" s="3" t="s">
        <v>219</v>
      </c>
      <c r="D42" s="4" t="s">
        <v>220</v>
      </c>
      <c r="E42" s="4" t="s">
        <v>221</v>
      </c>
      <c r="F42" s="5" t="s">
        <v>14</v>
      </c>
      <c r="G42" s="4" t="s">
        <v>222</v>
      </c>
      <c r="H42" s="27" t="s">
        <v>223</v>
      </c>
      <c r="I42" s="28" t="str">
        <f>HYPERLINK("http://localhost:8765/cbt_player.html?q=41", "📝 Q41번 CBT 풀기")</f>
        <v>📝 Q41번 CBT 풀기</v>
      </c>
    </row>
    <row r="43" spans="1:9" ht="36" customHeight="1" x14ac:dyDescent="0.45">
      <c r="A43" s="6" t="s">
        <v>206</v>
      </c>
      <c r="B43" s="6" t="s">
        <v>224</v>
      </c>
      <c r="C43" s="7" t="s">
        <v>225</v>
      </c>
      <c r="D43" s="8" t="s">
        <v>226</v>
      </c>
      <c r="E43" s="8" t="s">
        <v>227</v>
      </c>
      <c r="F43" s="9" t="s">
        <v>20</v>
      </c>
      <c r="G43" s="8" t="s">
        <v>228</v>
      </c>
      <c r="H43" s="27" t="s">
        <v>229</v>
      </c>
      <c r="I43" s="28" t="str">
        <f>HYPERLINK("http://localhost:8765/cbt_player.html?q=42", "📝 Q42번 CBT 풀기")</f>
        <v>📝 Q42번 CBT 풀기</v>
      </c>
    </row>
    <row r="44" spans="1:9" ht="36" customHeight="1" x14ac:dyDescent="0.45">
      <c r="A44" s="2" t="s">
        <v>206</v>
      </c>
      <c r="B44" s="2" t="s">
        <v>230</v>
      </c>
      <c r="C44" s="3" t="s">
        <v>231</v>
      </c>
      <c r="D44" s="4" t="s">
        <v>232</v>
      </c>
      <c r="E44" s="4" t="s">
        <v>233</v>
      </c>
      <c r="F44" s="5" t="s">
        <v>20</v>
      </c>
      <c r="G44" s="4" t="s">
        <v>234</v>
      </c>
      <c r="H44" s="27" t="s">
        <v>235</v>
      </c>
      <c r="I44" s="28" t="str">
        <f>HYPERLINK("http://localhost:8765/cbt_player.html?q=43", "📝 Q43번 CBT 풀기")</f>
        <v>📝 Q43번 CBT 풀기</v>
      </c>
    </row>
    <row r="45" spans="1:9" ht="36" customHeight="1" x14ac:dyDescent="0.45">
      <c r="A45" s="6" t="s">
        <v>206</v>
      </c>
      <c r="B45" s="6" t="s">
        <v>236</v>
      </c>
      <c r="C45" s="7" t="s">
        <v>237</v>
      </c>
      <c r="D45" s="8" t="s">
        <v>238</v>
      </c>
      <c r="E45" s="8" t="s">
        <v>239</v>
      </c>
      <c r="F45" s="9" t="s">
        <v>20</v>
      </c>
      <c r="G45" s="8" t="s">
        <v>240</v>
      </c>
      <c r="H45" s="27" t="s">
        <v>241</v>
      </c>
      <c r="I45" s="28" t="str">
        <f>HYPERLINK("http://localhost:8765/cbt_player.html?q=44", "📝 Q44번 CBT 풀기")</f>
        <v>📝 Q44번 CBT 풀기</v>
      </c>
    </row>
    <row r="46" spans="1:9" ht="36" customHeight="1" x14ac:dyDescent="0.45">
      <c r="A46" s="2" t="s">
        <v>206</v>
      </c>
      <c r="B46" s="2" t="s">
        <v>242</v>
      </c>
      <c r="C46" s="3" t="s">
        <v>243</v>
      </c>
      <c r="D46" s="4" t="s">
        <v>244</v>
      </c>
      <c r="E46" s="4" t="s">
        <v>245</v>
      </c>
      <c r="F46" s="5" t="s">
        <v>20</v>
      </c>
      <c r="G46" s="4" t="s">
        <v>246</v>
      </c>
      <c r="H46" s="27" t="s">
        <v>247</v>
      </c>
      <c r="I46" s="28" t="str">
        <f>HYPERLINK("http://localhost:8765/cbt_player.html?q=45", "📝 Q45번 CBT 풀기")</f>
        <v>📝 Q45번 CBT 풀기</v>
      </c>
    </row>
    <row r="47" spans="1:9" ht="36" customHeight="1" x14ac:dyDescent="0.45">
      <c r="A47" s="6" t="s">
        <v>206</v>
      </c>
      <c r="B47" s="6" t="s">
        <v>248</v>
      </c>
      <c r="C47" s="7" t="s">
        <v>249</v>
      </c>
      <c r="D47" s="8" t="s">
        <v>250</v>
      </c>
      <c r="E47" s="8" t="s">
        <v>251</v>
      </c>
      <c r="F47" s="9" t="s">
        <v>20</v>
      </c>
      <c r="G47" s="8" t="s">
        <v>252</v>
      </c>
      <c r="H47" s="27" t="s">
        <v>253</v>
      </c>
      <c r="I47" s="28" t="str">
        <f>HYPERLINK("http://localhost:8765/cbt_player.html?q=46", "📝 Q46번 CBT 풀기")</f>
        <v>📝 Q46번 CBT 풀기</v>
      </c>
    </row>
    <row r="48" spans="1:9" ht="36" customHeight="1" x14ac:dyDescent="0.45">
      <c r="A48" s="2" t="s">
        <v>254</v>
      </c>
      <c r="B48" s="2" t="s">
        <v>255</v>
      </c>
      <c r="C48" s="3" t="s">
        <v>256</v>
      </c>
      <c r="D48" s="4" t="s">
        <v>257</v>
      </c>
      <c r="E48" s="4" t="s">
        <v>258</v>
      </c>
      <c r="F48" s="5" t="s">
        <v>20</v>
      </c>
      <c r="G48" s="4" t="s">
        <v>259</v>
      </c>
      <c r="H48" s="27" t="s">
        <v>260</v>
      </c>
      <c r="I48" s="28" t="str">
        <f>HYPERLINK("http://localhost:8765/cbt_player.html?q=47", "📝 Q47번 CBT 풀기")</f>
        <v>📝 Q47번 CBT 풀기</v>
      </c>
    </row>
    <row r="49" spans="1:9" ht="36" customHeight="1" x14ac:dyDescent="0.45">
      <c r="A49" s="6" t="s">
        <v>254</v>
      </c>
      <c r="B49" s="6" t="s">
        <v>261</v>
      </c>
      <c r="C49" s="7" t="s">
        <v>262</v>
      </c>
      <c r="D49" s="8" t="s">
        <v>263</v>
      </c>
      <c r="E49" s="8" t="s">
        <v>264</v>
      </c>
      <c r="F49" s="9" t="s">
        <v>14</v>
      </c>
      <c r="G49" s="8" t="s">
        <v>265</v>
      </c>
      <c r="H49" s="27" t="s">
        <v>260</v>
      </c>
      <c r="I49" s="28" t="str">
        <f>HYPERLINK("http://localhost:8765/cbt_player.html?q=48", "📝 Q48번 CBT 풀기")</f>
        <v>📝 Q48번 CBT 풀기</v>
      </c>
    </row>
    <row r="50" spans="1:9" ht="36" customHeight="1" x14ac:dyDescent="0.45">
      <c r="A50" s="2" t="s">
        <v>254</v>
      </c>
      <c r="B50" s="2" t="s">
        <v>266</v>
      </c>
      <c r="C50" s="3" t="s">
        <v>267</v>
      </c>
      <c r="D50" s="4" t="s">
        <v>268</v>
      </c>
      <c r="E50" s="4" t="s">
        <v>269</v>
      </c>
      <c r="F50" s="5" t="s">
        <v>20</v>
      </c>
      <c r="G50" s="4" t="s">
        <v>270</v>
      </c>
      <c r="H50" s="27" t="s">
        <v>271</v>
      </c>
      <c r="I50" s="28" t="str">
        <f>HYPERLINK("http://localhost:8765/cbt_player.html?q=49", "📝 Q49번 CBT 풀기")</f>
        <v>📝 Q49번 CBT 풀기</v>
      </c>
    </row>
    <row r="51" spans="1:9" ht="36" customHeight="1" x14ac:dyDescent="0.45">
      <c r="A51" s="6" t="s">
        <v>254</v>
      </c>
      <c r="B51" s="6" t="s">
        <v>266</v>
      </c>
      <c r="C51" s="7" t="s">
        <v>272</v>
      </c>
      <c r="D51" s="8" t="s">
        <v>273</v>
      </c>
      <c r="E51" s="8" t="s">
        <v>274</v>
      </c>
      <c r="F51" s="9" t="s">
        <v>20</v>
      </c>
      <c r="G51" s="8" t="s">
        <v>275</v>
      </c>
      <c r="H51" s="27" t="s">
        <v>276</v>
      </c>
      <c r="I51" s="28" t="str">
        <f>HYPERLINK("http://localhost:8765/cbt_player.html?q=50", "📝 Q50번 CBT 풀기")</f>
        <v>📝 Q50번 CBT 풀기</v>
      </c>
    </row>
    <row r="52" spans="1:9" ht="36" customHeight="1" x14ac:dyDescent="0.45">
      <c r="A52" s="2" t="s">
        <v>254</v>
      </c>
      <c r="B52" s="2" t="s">
        <v>277</v>
      </c>
      <c r="C52" s="3" t="s">
        <v>278</v>
      </c>
      <c r="D52" s="4" t="s">
        <v>279</v>
      </c>
      <c r="E52" s="4" t="s">
        <v>280</v>
      </c>
      <c r="F52" s="5" t="s">
        <v>20</v>
      </c>
      <c r="G52" s="4" t="s">
        <v>281</v>
      </c>
      <c r="H52" s="27" t="s">
        <v>276</v>
      </c>
      <c r="I52" s="28" t="str">
        <f>HYPERLINK("http://localhost:8765/cbt_player.html?q=51", "📝 Q51번 CBT 풀기")</f>
        <v>📝 Q51번 CBT 풀기</v>
      </c>
    </row>
    <row r="53" spans="1:9" ht="36" customHeight="1" x14ac:dyDescent="0.45">
      <c r="A53" s="6" t="s">
        <v>254</v>
      </c>
      <c r="B53" s="6" t="s">
        <v>277</v>
      </c>
      <c r="C53" s="7" t="s">
        <v>282</v>
      </c>
      <c r="D53" s="8" t="s">
        <v>283</v>
      </c>
      <c r="E53" s="8" t="s">
        <v>284</v>
      </c>
      <c r="F53" s="9" t="s">
        <v>20</v>
      </c>
      <c r="G53" s="8" t="s">
        <v>285</v>
      </c>
      <c r="H53" s="27" t="s">
        <v>286</v>
      </c>
      <c r="I53" s="28" t="str">
        <f>HYPERLINK("http://localhost:8765/cbt_player.html?q=52", "📝 Q52번 CBT 풀기")</f>
        <v>📝 Q52번 CBT 풀기</v>
      </c>
    </row>
    <row r="54" spans="1:9" ht="36" customHeight="1" x14ac:dyDescent="0.45">
      <c r="A54" s="2" t="s">
        <v>254</v>
      </c>
      <c r="B54" s="2" t="s">
        <v>287</v>
      </c>
      <c r="C54" s="3" t="s">
        <v>288</v>
      </c>
      <c r="D54" s="4" t="s">
        <v>289</v>
      </c>
      <c r="E54" s="4" t="s">
        <v>290</v>
      </c>
      <c r="F54" s="5" t="s">
        <v>20</v>
      </c>
      <c r="G54" s="4" t="s">
        <v>291</v>
      </c>
      <c r="H54" s="27" t="s">
        <v>292</v>
      </c>
      <c r="I54" s="28" t="str">
        <f>HYPERLINK("http://localhost:8765/cbt_player.html?q=53", "📝 Q53번 CBT 풀기")</f>
        <v>📝 Q53번 CBT 풀기</v>
      </c>
    </row>
    <row r="55" spans="1:9" ht="36" customHeight="1" x14ac:dyDescent="0.45">
      <c r="A55" s="6" t="s">
        <v>254</v>
      </c>
      <c r="B55" s="6" t="s">
        <v>287</v>
      </c>
      <c r="C55" s="7" t="s">
        <v>293</v>
      </c>
      <c r="D55" s="8" t="s">
        <v>294</v>
      </c>
      <c r="E55" s="8" t="s">
        <v>295</v>
      </c>
      <c r="F55" s="9" t="s">
        <v>20</v>
      </c>
      <c r="G55" s="8" t="s">
        <v>296</v>
      </c>
      <c r="H55" s="27" t="s">
        <v>297</v>
      </c>
      <c r="I55" s="28" t="str">
        <f>HYPERLINK("http://localhost:8765/cbt_player.html?q=54", "📝 Q54번 CBT 풀기")</f>
        <v>📝 Q54번 CBT 풀기</v>
      </c>
    </row>
    <row r="56" spans="1:9" ht="36" customHeight="1" x14ac:dyDescent="0.45">
      <c r="A56" s="2" t="s">
        <v>298</v>
      </c>
      <c r="B56" s="2" t="s">
        <v>299</v>
      </c>
      <c r="C56" s="3" t="s">
        <v>300</v>
      </c>
      <c r="D56" s="4" t="s">
        <v>301</v>
      </c>
      <c r="E56" s="4" t="s">
        <v>302</v>
      </c>
      <c r="F56" s="5" t="s">
        <v>20</v>
      </c>
      <c r="G56" s="4" t="s">
        <v>303</v>
      </c>
      <c r="H56" s="27" t="s">
        <v>304</v>
      </c>
      <c r="I56" s="28" t="str">
        <f>HYPERLINK("http://localhost:8765/cbt_player.html?q=55", "📝 Q55번 CBT 풀기")</f>
        <v>📝 Q55번 CBT 풀기</v>
      </c>
    </row>
    <row r="57" spans="1:9" ht="36" customHeight="1" x14ac:dyDescent="0.45">
      <c r="A57" s="6" t="s">
        <v>298</v>
      </c>
      <c r="B57" s="6" t="s">
        <v>305</v>
      </c>
      <c r="C57" s="7" t="s">
        <v>306</v>
      </c>
      <c r="D57" s="8" t="s">
        <v>307</v>
      </c>
      <c r="E57" s="8" t="s">
        <v>308</v>
      </c>
      <c r="F57" s="9" t="s">
        <v>20</v>
      </c>
      <c r="G57" s="8" t="s">
        <v>309</v>
      </c>
      <c r="H57" s="27" t="s">
        <v>310</v>
      </c>
      <c r="I57" s="28" t="str">
        <f>HYPERLINK("http://localhost:8765/cbt_player.html?q=56", "📝 Q56번 CBT 풀기")</f>
        <v>📝 Q56번 CBT 풀기</v>
      </c>
    </row>
    <row r="58" spans="1:9" ht="36" customHeight="1" x14ac:dyDescent="0.45">
      <c r="A58" s="2" t="s">
        <v>298</v>
      </c>
      <c r="B58" s="2" t="s">
        <v>311</v>
      </c>
      <c r="C58" s="3" t="s">
        <v>312</v>
      </c>
      <c r="D58" s="4" t="s">
        <v>313</v>
      </c>
      <c r="E58" s="4" t="s">
        <v>314</v>
      </c>
      <c r="F58" s="5" t="s">
        <v>20</v>
      </c>
      <c r="G58" s="4" t="s">
        <v>315</v>
      </c>
      <c r="H58" s="27" t="s">
        <v>316</v>
      </c>
      <c r="I58" s="28" t="str">
        <f>HYPERLINK("http://localhost:8765/cbt_player.html?q=57", "📝 Q57번 CBT 풀기")</f>
        <v>📝 Q57번 CBT 풀기</v>
      </c>
    </row>
    <row r="59" spans="1:9" ht="36" customHeight="1" x14ac:dyDescent="0.45">
      <c r="A59" s="6" t="s">
        <v>298</v>
      </c>
      <c r="B59" s="6" t="s">
        <v>317</v>
      </c>
      <c r="C59" s="7" t="s">
        <v>318</v>
      </c>
      <c r="D59" s="8" t="s">
        <v>319</v>
      </c>
      <c r="E59" s="8" t="s">
        <v>320</v>
      </c>
      <c r="F59" s="9" t="s">
        <v>20</v>
      </c>
      <c r="G59" s="8" t="s">
        <v>321</v>
      </c>
      <c r="H59" s="27" t="s">
        <v>322</v>
      </c>
      <c r="I59" s="28" t="str">
        <f>HYPERLINK("http://localhost:8765/cbt_player.html?q=58", "📝 Q58번 CBT 풀기")</f>
        <v>📝 Q58번 CBT 풀기</v>
      </c>
    </row>
    <row r="60" spans="1:9" ht="36" customHeight="1" x14ac:dyDescent="0.45">
      <c r="A60" s="2" t="s">
        <v>298</v>
      </c>
      <c r="B60" s="2" t="s">
        <v>323</v>
      </c>
      <c r="C60" s="3" t="s">
        <v>324</v>
      </c>
      <c r="D60" s="4" t="s">
        <v>325</v>
      </c>
      <c r="E60" s="4" t="s">
        <v>326</v>
      </c>
      <c r="F60" s="5" t="s">
        <v>20</v>
      </c>
      <c r="G60" s="4" t="s">
        <v>327</v>
      </c>
      <c r="H60" s="27" t="s">
        <v>328</v>
      </c>
      <c r="I60" s="28" t="str">
        <f>HYPERLINK("http://localhost:8765/cbt_player.html?q=59", "📝 Q59번 CBT 풀기")</f>
        <v>📝 Q59번 CBT 풀기</v>
      </c>
    </row>
    <row r="61" spans="1:9" ht="36" customHeight="1" x14ac:dyDescent="0.45">
      <c r="A61" s="6" t="s">
        <v>298</v>
      </c>
      <c r="B61" s="6" t="s">
        <v>329</v>
      </c>
      <c r="C61" s="7" t="s">
        <v>330</v>
      </c>
      <c r="D61" s="8" t="s">
        <v>331</v>
      </c>
      <c r="E61" s="8" t="s">
        <v>332</v>
      </c>
      <c r="F61" s="9" t="s">
        <v>20</v>
      </c>
      <c r="G61" s="8" t="s">
        <v>333</v>
      </c>
      <c r="H61" s="27" t="s">
        <v>334</v>
      </c>
      <c r="I61" s="28" t="str">
        <f>HYPERLINK("http://localhost:8765/cbt_player.html?q=60", "📝 Q60번 CBT 풀기")</f>
        <v>📝 Q60번 CBT 풀기</v>
      </c>
    </row>
    <row r="62" spans="1:9" ht="36" customHeight="1" x14ac:dyDescent="0.45">
      <c r="A62" s="2" t="s">
        <v>298</v>
      </c>
      <c r="B62" s="2" t="s">
        <v>329</v>
      </c>
      <c r="C62" s="3" t="s">
        <v>335</v>
      </c>
      <c r="D62" s="4" t="s">
        <v>336</v>
      </c>
      <c r="E62" s="4" t="s">
        <v>337</v>
      </c>
      <c r="F62" s="5" t="s">
        <v>20</v>
      </c>
      <c r="G62" s="4" t="s">
        <v>338</v>
      </c>
      <c r="H62" s="27" t="s">
        <v>339</v>
      </c>
      <c r="I62" s="28" t="str">
        <f>HYPERLINK("http://localhost:8765/cbt_player.html?q=61", "📝 Q61번 CBT 풀기")</f>
        <v>📝 Q61번 CBT 풀기</v>
      </c>
    </row>
    <row r="63" spans="1:9" ht="36" customHeight="1" x14ac:dyDescent="0.45">
      <c r="A63" s="6" t="s">
        <v>298</v>
      </c>
      <c r="B63" s="6" t="s">
        <v>329</v>
      </c>
      <c r="C63" s="7" t="s">
        <v>340</v>
      </c>
      <c r="D63" s="8" t="s">
        <v>341</v>
      </c>
      <c r="E63" s="8" t="s">
        <v>342</v>
      </c>
      <c r="F63" s="9" t="s">
        <v>20</v>
      </c>
      <c r="G63" s="8" t="s">
        <v>343</v>
      </c>
      <c r="H63" s="27" t="s">
        <v>344</v>
      </c>
      <c r="I63" s="28" t="str">
        <f>HYPERLINK("http://localhost:8765/cbt_player.html?q=62", "📝 Q62번 CBT 풀기")</f>
        <v>📝 Q62번 CBT 풀기</v>
      </c>
    </row>
    <row r="64" spans="1:9" ht="42" customHeight="1" x14ac:dyDescent="0.45">
      <c r="A64" s="10" t="s">
        <v>345</v>
      </c>
      <c r="B64" s="10" t="s">
        <v>346</v>
      </c>
      <c r="C64" s="11" t="s">
        <v>347</v>
      </c>
      <c r="D64" s="22" t="s">
        <v>348</v>
      </c>
      <c r="E64" s="22" t="s">
        <v>349</v>
      </c>
      <c r="F64" s="13" t="s">
        <v>350</v>
      </c>
      <c r="G64" s="11" t="s">
        <v>351</v>
      </c>
      <c r="H64" s="27" t="s">
        <v>352</v>
      </c>
      <c r="I64" s="28" t="str">
        <f>HYPERLINK("http://localhost:8765/cbt_player.html?q=63", "📝 Q63번 CBT 풀기")</f>
        <v>📝 Q63번 CBT 풀기</v>
      </c>
    </row>
    <row r="65" spans="1:9" ht="42" customHeight="1" x14ac:dyDescent="0.45">
      <c r="A65" s="10" t="s">
        <v>353</v>
      </c>
      <c r="B65" s="10" t="s">
        <v>354</v>
      </c>
      <c r="C65" s="11" t="s">
        <v>355</v>
      </c>
      <c r="D65" s="22" t="s">
        <v>356</v>
      </c>
      <c r="E65" s="22" t="s">
        <v>357</v>
      </c>
      <c r="F65" s="13" t="s">
        <v>350</v>
      </c>
      <c r="G65" s="11" t="s">
        <v>358</v>
      </c>
      <c r="H65" s="27" t="s">
        <v>359</v>
      </c>
      <c r="I65" s="28" t="str">
        <f>HYPERLINK("http://localhost:8765/cbt_player.html?q=64", "📝 Q64번 CBT 풀기")</f>
        <v>📝 Q64번 CBT 풀기</v>
      </c>
    </row>
    <row r="66" spans="1:9" ht="42" customHeight="1" x14ac:dyDescent="0.45">
      <c r="A66" s="10" t="s">
        <v>353</v>
      </c>
      <c r="B66" s="10" t="s">
        <v>360</v>
      </c>
      <c r="C66" s="11" t="s">
        <v>361</v>
      </c>
      <c r="D66" s="12" t="s">
        <v>362</v>
      </c>
      <c r="E66" s="22" t="s">
        <v>363</v>
      </c>
      <c r="F66" s="13" t="s">
        <v>350</v>
      </c>
      <c r="G66" s="11" t="s">
        <v>364</v>
      </c>
      <c r="H66" s="27" t="s">
        <v>359</v>
      </c>
      <c r="I66" s="28" t="str">
        <f>HYPERLINK("http://localhost:8765/cbt_player.html?q=65", "📝 Q65번 CBT 풀기")</f>
        <v>📝 Q65번 CBT 풀기</v>
      </c>
    </row>
    <row r="67" spans="1:9" ht="42" customHeight="1" x14ac:dyDescent="0.45">
      <c r="A67" s="10" t="s">
        <v>365</v>
      </c>
      <c r="B67" s="10" t="s">
        <v>366</v>
      </c>
      <c r="C67" s="11" t="s">
        <v>367</v>
      </c>
      <c r="D67" s="12" t="s">
        <v>368</v>
      </c>
      <c r="E67" s="12" t="s">
        <v>369</v>
      </c>
      <c r="F67" s="13" t="s">
        <v>350</v>
      </c>
      <c r="G67" s="11" t="s">
        <v>370</v>
      </c>
      <c r="H67" s="27" t="s">
        <v>371</v>
      </c>
      <c r="I67" s="28" t="str">
        <f>HYPERLINK("http://localhost:8765/cbt_player.html?q=66", "📝 Q66번 CBT 풀기")</f>
        <v>📝 Q66번 CBT 풀기</v>
      </c>
    </row>
    <row r="68" spans="1:9" ht="42" customHeight="1" x14ac:dyDescent="0.45">
      <c r="A68" s="10" t="s">
        <v>372</v>
      </c>
      <c r="B68" s="10" t="s">
        <v>373</v>
      </c>
      <c r="C68" s="11" t="s">
        <v>374</v>
      </c>
      <c r="D68" s="12" t="s">
        <v>375</v>
      </c>
      <c r="E68" s="12" t="s">
        <v>376</v>
      </c>
      <c r="F68" s="13" t="s">
        <v>350</v>
      </c>
      <c r="G68" s="11" t="s">
        <v>377</v>
      </c>
      <c r="H68" s="27" t="s">
        <v>378</v>
      </c>
      <c r="I68" s="28" t="str">
        <f>HYPERLINK("http://localhost:8765/cbt_player.html?q=67", "📝 Q67번 CBT 풀기")</f>
        <v>📝 Q67번 CBT 풀기</v>
      </c>
    </row>
    <row r="69" spans="1:9" ht="42" customHeight="1" x14ac:dyDescent="0.45">
      <c r="A69" s="10" t="s">
        <v>372</v>
      </c>
      <c r="B69" s="10" t="s">
        <v>373</v>
      </c>
      <c r="C69" s="11" t="s">
        <v>379</v>
      </c>
      <c r="D69" s="12" t="s">
        <v>380</v>
      </c>
      <c r="E69" s="12" t="s">
        <v>381</v>
      </c>
      <c r="F69" s="13" t="s">
        <v>350</v>
      </c>
      <c r="G69" s="11" t="s">
        <v>382</v>
      </c>
      <c r="H69" s="27" t="s">
        <v>383</v>
      </c>
      <c r="I69" s="28" t="str">
        <f>HYPERLINK("http://localhost:8765/cbt_player.html?q=68", "📝 Q68번 CBT 풀기")</f>
        <v>📝 Q68번 CBT 풀기</v>
      </c>
    </row>
    <row r="70" spans="1:9" ht="42" customHeight="1" x14ac:dyDescent="0.45">
      <c r="A70" s="10" t="s">
        <v>372</v>
      </c>
      <c r="B70" s="10" t="s">
        <v>373</v>
      </c>
      <c r="C70" s="11" t="s">
        <v>384</v>
      </c>
      <c r="D70" s="12" t="s">
        <v>385</v>
      </c>
      <c r="E70" s="12" t="s">
        <v>386</v>
      </c>
      <c r="F70" s="13" t="s">
        <v>350</v>
      </c>
      <c r="G70" s="11" t="s">
        <v>387</v>
      </c>
      <c r="H70" s="27" t="s">
        <v>388</v>
      </c>
      <c r="I70" s="28" t="str">
        <f>HYPERLINK("http://localhost:8765/cbt_player.html?q=69", "📝 Q69번 CBT 풀기")</f>
        <v>📝 Q69번 CBT 풀기</v>
      </c>
    </row>
    <row r="71" spans="1:9" ht="42" customHeight="1" x14ac:dyDescent="0.45">
      <c r="A71" s="10" t="s">
        <v>372</v>
      </c>
      <c r="B71" s="10" t="s">
        <v>373</v>
      </c>
      <c r="C71" s="11" t="s">
        <v>389</v>
      </c>
      <c r="D71" s="12" t="s">
        <v>390</v>
      </c>
      <c r="E71" s="12" t="s">
        <v>391</v>
      </c>
      <c r="F71" s="13" t="s">
        <v>350</v>
      </c>
      <c r="G71" s="11" t="s">
        <v>392</v>
      </c>
      <c r="H71" s="27" t="s">
        <v>393</v>
      </c>
      <c r="I71" s="28" t="str">
        <f>HYPERLINK("http://localhost:8765/cbt_player.html?q=70", "📝 Q70번 CBT 풀기")</f>
        <v>📝 Q70번 CBT 풀기</v>
      </c>
    </row>
    <row r="72" spans="1:9" ht="42" customHeight="1" x14ac:dyDescent="0.45">
      <c r="A72" s="10" t="s">
        <v>372</v>
      </c>
      <c r="B72" s="10" t="s">
        <v>373</v>
      </c>
      <c r="C72" s="11" t="s">
        <v>394</v>
      </c>
      <c r="D72" s="12" t="s">
        <v>395</v>
      </c>
      <c r="E72" s="12" t="s">
        <v>396</v>
      </c>
      <c r="F72" s="13" t="s">
        <v>350</v>
      </c>
      <c r="G72" s="11" t="s">
        <v>397</v>
      </c>
      <c r="H72" s="27" t="s">
        <v>398</v>
      </c>
      <c r="I72" s="28" t="str">
        <f>HYPERLINK("http://localhost:8765/cbt_player.html?q=71", "📝 Q71번 CBT 풀기")</f>
        <v>📝 Q71번 CBT 풀기</v>
      </c>
    </row>
    <row r="73" spans="1:9" ht="42" customHeight="1" x14ac:dyDescent="0.45">
      <c r="A73" s="10" t="s">
        <v>399</v>
      </c>
      <c r="B73" s="10" t="s">
        <v>400</v>
      </c>
      <c r="C73" s="11" t="s">
        <v>401</v>
      </c>
      <c r="D73" s="12" t="s">
        <v>402</v>
      </c>
      <c r="E73" s="12" t="s">
        <v>403</v>
      </c>
      <c r="F73" s="13" t="s">
        <v>350</v>
      </c>
      <c r="G73" s="11" t="s">
        <v>404</v>
      </c>
      <c r="H73" s="27" t="s">
        <v>92</v>
      </c>
      <c r="I73" s="28" t="str">
        <f>HYPERLINK("http://localhost:8765/cbt_player.html?q=72", "📝 Q72번 CBT 풀기")</f>
        <v>📝 Q72번 CBT 풀기</v>
      </c>
    </row>
    <row r="74" spans="1:9" ht="42" customHeight="1" x14ac:dyDescent="0.45">
      <c r="A74" s="10" t="s">
        <v>399</v>
      </c>
      <c r="B74" s="10" t="s">
        <v>405</v>
      </c>
      <c r="C74" s="11" t="s">
        <v>406</v>
      </c>
      <c r="D74" s="12" t="s">
        <v>407</v>
      </c>
      <c r="E74" s="12" t="s">
        <v>408</v>
      </c>
      <c r="F74" s="13" t="s">
        <v>350</v>
      </c>
      <c r="G74" s="11" t="s">
        <v>409</v>
      </c>
      <c r="H74" s="27" t="s">
        <v>410</v>
      </c>
      <c r="I74" s="28" t="str">
        <f>HYPERLINK("http://localhost:8765/cbt_player.html?q=73", "📝 Q73번 CBT 풀기")</f>
        <v>📝 Q73번 CBT 풀기</v>
      </c>
    </row>
    <row r="75" spans="1:9" ht="42" customHeight="1" x14ac:dyDescent="0.45">
      <c r="A75" s="10" t="s">
        <v>399</v>
      </c>
      <c r="B75" s="10" t="s">
        <v>411</v>
      </c>
      <c r="C75" s="11" t="s">
        <v>412</v>
      </c>
      <c r="D75" s="12" t="s">
        <v>413</v>
      </c>
      <c r="E75" s="12" t="s">
        <v>414</v>
      </c>
      <c r="F75" s="13" t="s">
        <v>350</v>
      </c>
      <c r="G75" s="11" t="s">
        <v>415</v>
      </c>
      <c r="H75" s="27" t="s">
        <v>416</v>
      </c>
      <c r="I75" s="28" t="str">
        <f>HYPERLINK("http://localhost:8765/cbt_player.html?q=74", "📝 Q74번 CBT 풀기")</f>
        <v>📝 Q74번 CBT 풀기</v>
      </c>
    </row>
    <row r="76" spans="1:9" ht="42" customHeight="1" x14ac:dyDescent="0.45">
      <c r="A76" s="10" t="s">
        <v>399</v>
      </c>
      <c r="B76" s="10" t="s">
        <v>266</v>
      </c>
      <c r="C76" s="11" t="s">
        <v>417</v>
      </c>
      <c r="D76" s="12" t="s">
        <v>418</v>
      </c>
      <c r="E76" s="12" t="s">
        <v>419</v>
      </c>
      <c r="F76" s="13" t="s">
        <v>350</v>
      </c>
      <c r="G76" s="11" t="s">
        <v>420</v>
      </c>
      <c r="H76" s="27" t="s">
        <v>276</v>
      </c>
      <c r="I76" s="28" t="str">
        <f>HYPERLINK("http://localhost:8765/cbt_player.html?q=75", "📝 Q75번 CBT 풀기")</f>
        <v>📝 Q75번 CBT 풀기</v>
      </c>
    </row>
    <row r="77" spans="1:9" ht="42" customHeight="1" x14ac:dyDescent="0.45">
      <c r="A77" s="10" t="s">
        <v>399</v>
      </c>
      <c r="B77" s="10" t="s">
        <v>421</v>
      </c>
      <c r="C77" s="11" t="s">
        <v>422</v>
      </c>
      <c r="D77" s="12" t="s">
        <v>423</v>
      </c>
      <c r="E77" s="12" t="s">
        <v>424</v>
      </c>
      <c r="F77" s="13" t="s">
        <v>350</v>
      </c>
      <c r="G77" s="11" t="s">
        <v>425</v>
      </c>
      <c r="H77" s="27" t="s">
        <v>426</v>
      </c>
      <c r="I77" s="28" t="str">
        <f>HYPERLINK("http://localhost:8765/cbt_player.html?q=76", "📝 Q76번 CBT 풀기")</f>
        <v>📝 Q76번 CBT 풀기</v>
      </c>
    </row>
    <row r="78" spans="1:9" ht="42" customHeight="1" x14ac:dyDescent="0.45">
      <c r="A78" s="10" t="s">
        <v>399</v>
      </c>
      <c r="B78" s="10" t="s">
        <v>427</v>
      </c>
      <c r="C78" s="11" t="s">
        <v>428</v>
      </c>
      <c r="D78" s="12" t="s">
        <v>429</v>
      </c>
      <c r="E78" s="12" t="s">
        <v>430</v>
      </c>
      <c r="F78" s="13" t="s">
        <v>350</v>
      </c>
      <c r="G78" s="11" t="s">
        <v>431</v>
      </c>
      <c r="H78" s="27" t="s">
        <v>432</v>
      </c>
      <c r="I78" s="28" t="str">
        <f>HYPERLINK("http://localhost:8765/cbt_player.html?q=77", "📝 Q77번 CBT 풀기")</f>
        <v>📝 Q77번 CBT 풀기</v>
      </c>
    </row>
  </sheetData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I6" sqref="I6"/>
    </sheetView>
  </sheetViews>
  <sheetFormatPr defaultRowHeight="17" x14ac:dyDescent="0.45"/>
  <cols>
    <col min="1" max="1" width="15" customWidth="1"/>
    <col min="2" max="2" width="10" customWidth="1"/>
    <col min="3" max="3" width="26" customWidth="1"/>
    <col min="4" max="4" width="38" customWidth="1"/>
    <col min="5" max="5" width="48" customWidth="1"/>
    <col min="6" max="6" width="15" customWidth="1"/>
    <col min="7" max="7" width="38" customWidth="1"/>
    <col min="8" max="8" width="18" customWidth="1"/>
    <col min="9" max="9" width="22" customWidth="1"/>
    <col min="10" max="10" width="18" customWidth="1"/>
  </cols>
  <sheetData>
    <row r="1" spans="1:9" ht="2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6" t="s">
        <v>7</v>
      </c>
      <c r="I1" s="26" t="s">
        <v>8</v>
      </c>
    </row>
    <row r="2" spans="1:9" ht="36" customHeight="1" x14ac:dyDescent="0.45">
      <c r="A2" s="2" t="s">
        <v>9</v>
      </c>
      <c r="B2" s="2" t="s">
        <v>10</v>
      </c>
      <c r="C2" s="3" t="s">
        <v>11</v>
      </c>
      <c r="D2" s="4" t="s">
        <v>12</v>
      </c>
      <c r="E2" s="4" t="s">
        <v>13</v>
      </c>
      <c r="F2" s="5" t="s">
        <v>14</v>
      </c>
      <c r="G2" s="4" t="s">
        <v>15</v>
      </c>
      <c r="H2" s="27" t="s">
        <v>16</v>
      </c>
      <c r="I2" s="28" t="str">
        <f>HYPERLINK("http://localhost:8765/cbt_player.html?q=1", "📝 Q1번 CBT 풀기")</f>
        <v>📝 Q1번 CBT 풀기</v>
      </c>
    </row>
    <row r="3" spans="1:9" ht="36" customHeight="1" x14ac:dyDescent="0.45">
      <c r="A3" s="6" t="s">
        <v>9</v>
      </c>
      <c r="B3" s="6" t="s">
        <v>10</v>
      </c>
      <c r="C3" s="7" t="s">
        <v>17</v>
      </c>
      <c r="D3" s="8" t="s">
        <v>18</v>
      </c>
      <c r="E3" s="8" t="s">
        <v>19</v>
      </c>
      <c r="F3" s="9" t="s">
        <v>20</v>
      </c>
      <c r="G3" s="8" t="s">
        <v>21</v>
      </c>
      <c r="H3" s="27" t="s">
        <v>16</v>
      </c>
      <c r="I3" s="28" t="str">
        <f>HYPERLINK("http://localhost:8765/cbt_player.html?q=2", "📝 Q2번 CBT 풀기")</f>
        <v>📝 Q2번 CBT 풀기</v>
      </c>
    </row>
    <row r="4" spans="1:9" ht="36" customHeight="1" x14ac:dyDescent="0.45">
      <c r="A4" s="2" t="s">
        <v>9</v>
      </c>
      <c r="B4" s="2" t="s">
        <v>10</v>
      </c>
      <c r="C4" s="3" t="s">
        <v>22</v>
      </c>
      <c r="D4" s="4" t="s">
        <v>23</v>
      </c>
      <c r="E4" s="4" t="s">
        <v>24</v>
      </c>
      <c r="F4" s="5" t="s">
        <v>20</v>
      </c>
      <c r="G4" s="4" t="s">
        <v>25</v>
      </c>
      <c r="H4" s="27" t="s">
        <v>16</v>
      </c>
      <c r="I4" s="28" t="str">
        <f>HYPERLINK("http://localhost:8765/cbt_player.html?q=3", "📝 Q3번 CBT 풀기")</f>
        <v>📝 Q3번 CBT 풀기</v>
      </c>
    </row>
    <row r="5" spans="1:9" ht="36" customHeight="1" x14ac:dyDescent="0.45">
      <c r="A5" s="6" t="s">
        <v>9</v>
      </c>
      <c r="B5" s="6" t="s">
        <v>10</v>
      </c>
      <c r="C5" s="7" t="s">
        <v>26</v>
      </c>
      <c r="D5" s="8" t="s">
        <v>27</v>
      </c>
      <c r="E5" s="8" t="s">
        <v>28</v>
      </c>
      <c r="F5" s="9" t="s">
        <v>14</v>
      </c>
      <c r="G5" s="8" t="s">
        <v>29</v>
      </c>
      <c r="H5" s="27" t="s">
        <v>16</v>
      </c>
      <c r="I5" s="28" t="str">
        <f>HYPERLINK("http://localhost:8765/cbt_player.html?q=4", "📝 Q4번 CBT 풀기")</f>
        <v>📝 Q4번 CBT 풀기</v>
      </c>
    </row>
    <row r="6" spans="1:9" ht="36" customHeight="1" x14ac:dyDescent="0.45">
      <c r="A6" s="2" t="s">
        <v>9</v>
      </c>
      <c r="B6" s="2" t="s">
        <v>30</v>
      </c>
      <c r="C6" s="3" t="s">
        <v>31</v>
      </c>
      <c r="D6" s="4" t="s">
        <v>32</v>
      </c>
      <c r="E6" s="4" t="s">
        <v>33</v>
      </c>
      <c r="F6" s="5" t="s">
        <v>20</v>
      </c>
      <c r="G6" s="4" t="s">
        <v>34</v>
      </c>
      <c r="H6" s="27" t="s">
        <v>16</v>
      </c>
      <c r="I6" s="28" t="str">
        <f>HYPERLINK("http://localhost:8765/cbt_player.html?q=5", "📝 Q5번 CBT 풀기")</f>
        <v>📝 Q5번 CBT 풀기</v>
      </c>
    </row>
    <row r="7" spans="1:9" ht="36" customHeight="1" x14ac:dyDescent="0.45">
      <c r="A7" s="6" t="s">
        <v>9</v>
      </c>
      <c r="B7" s="6" t="s">
        <v>30</v>
      </c>
      <c r="C7" s="7" t="s">
        <v>35</v>
      </c>
      <c r="D7" s="8" t="s">
        <v>36</v>
      </c>
      <c r="E7" s="8" t="s">
        <v>37</v>
      </c>
      <c r="F7" s="9" t="s">
        <v>20</v>
      </c>
      <c r="G7" s="8" t="s">
        <v>38</v>
      </c>
      <c r="H7" s="27" t="s">
        <v>16</v>
      </c>
      <c r="I7" s="28" t="str">
        <f>HYPERLINK("http://localhost:8765/cbt_player.html?q=6", "📝 Q6번 CBT 풀기")</f>
        <v>📝 Q6번 CBT 풀기</v>
      </c>
    </row>
    <row r="8" spans="1:9" ht="36" customHeight="1" x14ac:dyDescent="0.45">
      <c r="A8" s="2" t="s">
        <v>9</v>
      </c>
      <c r="B8" s="2" t="s">
        <v>30</v>
      </c>
      <c r="C8" s="3" t="s">
        <v>39</v>
      </c>
      <c r="D8" s="4" t="s">
        <v>40</v>
      </c>
      <c r="E8" s="4" t="s">
        <v>41</v>
      </c>
      <c r="F8" s="5" t="s">
        <v>20</v>
      </c>
      <c r="G8" s="4" t="s">
        <v>42</v>
      </c>
      <c r="H8" s="27" t="s">
        <v>16</v>
      </c>
      <c r="I8" s="28" t="str">
        <f>HYPERLINK("http://localhost:8765/cbt_player.html?q=7", "📝 Q7번 CBT 풀기")</f>
        <v>📝 Q7번 CBT 풀기</v>
      </c>
    </row>
    <row r="9" spans="1:9" ht="36" customHeight="1" x14ac:dyDescent="0.45">
      <c r="A9" s="6" t="s">
        <v>9</v>
      </c>
      <c r="B9" s="6" t="s">
        <v>30</v>
      </c>
      <c r="C9" s="7" t="s">
        <v>43</v>
      </c>
      <c r="D9" s="8" t="s">
        <v>44</v>
      </c>
      <c r="E9" s="8" t="s">
        <v>45</v>
      </c>
      <c r="F9" s="9" t="s">
        <v>20</v>
      </c>
      <c r="G9" s="8" t="s">
        <v>46</v>
      </c>
      <c r="H9" s="27" t="s">
        <v>16</v>
      </c>
      <c r="I9" s="28" t="str">
        <f>HYPERLINK("http://localhost:8765/cbt_player.html?q=8", "📝 Q8번 CBT 풀기")</f>
        <v>📝 Q8번 CBT 풀기</v>
      </c>
    </row>
    <row r="10" spans="1:9" ht="36" customHeight="1" x14ac:dyDescent="0.45">
      <c r="A10" s="2" t="s">
        <v>9</v>
      </c>
      <c r="B10" s="2" t="s">
        <v>30</v>
      </c>
      <c r="C10" s="3" t="s">
        <v>47</v>
      </c>
      <c r="D10" s="4" t="s">
        <v>48</v>
      </c>
      <c r="E10" s="4" t="s">
        <v>49</v>
      </c>
      <c r="F10" s="5" t="s">
        <v>20</v>
      </c>
      <c r="G10" s="4" t="s">
        <v>50</v>
      </c>
      <c r="H10" s="27" t="s">
        <v>16</v>
      </c>
      <c r="I10" s="28" t="str">
        <f>HYPERLINK("http://localhost:8765/cbt_player.html?q=9", "📝 Q9번 CBT 풀기")</f>
        <v>📝 Q9번 CBT 풀기</v>
      </c>
    </row>
    <row r="11" spans="1:9" ht="36" customHeight="1" x14ac:dyDescent="0.45">
      <c r="A11" s="6" t="s">
        <v>9</v>
      </c>
      <c r="B11" s="6" t="s">
        <v>30</v>
      </c>
      <c r="C11" s="7" t="s">
        <v>51</v>
      </c>
      <c r="D11" s="8" t="s">
        <v>52</v>
      </c>
      <c r="E11" s="8" t="s">
        <v>53</v>
      </c>
      <c r="F11" s="9" t="s">
        <v>20</v>
      </c>
      <c r="G11" s="8" t="s">
        <v>54</v>
      </c>
      <c r="H11" s="27" t="s">
        <v>16</v>
      </c>
      <c r="I11" s="28" t="str">
        <f>HYPERLINK("http://localhost:8765/cbt_player.html?q=10", "📝 Q10번 CBT 풀기")</f>
        <v>📝 Q10번 CBT 풀기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C38" sqref="C38"/>
    </sheetView>
  </sheetViews>
  <sheetFormatPr defaultRowHeight="17" x14ac:dyDescent="0.45"/>
  <cols>
    <col min="1" max="1" width="15" customWidth="1"/>
    <col min="2" max="2" width="10" customWidth="1"/>
    <col min="3" max="3" width="26" customWidth="1"/>
    <col min="4" max="4" width="38" customWidth="1"/>
    <col min="5" max="5" width="48" customWidth="1"/>
    <col min="6" max="6" width="15" customWidth="1"/>
    <col min="7" max="7" width="38" customWidth="1"/>
    <col min="8" max="8" width="18" customWidth="1"/>
    <col min="9" max="9" width="22" customWidth="1"/>
    <col min="10" max="10" width="18" customWidth="1"/>
  </cols>
  <sheetData>
    <row r="1" spans="1:9" ht="2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6" t="s">
        <v>7</v>
      </c>
      <c r="I1" s="26" t="s">
        <v>8</v>
      </c>
    </row>
    <row r="2" spans="1:9" ht="36" customHeight="1" x14ac:dyDescent="0.45">
      <c r="A2" s="2" t="s">
        <v>55</v>
      </c>
      <c r="B2" s="2" t="s">
        <v>56</v>
      </c>
      <c r="C2" s="3" t="s">
        <v>57</v>
      </c>
      <c r="D2" s="4" t="s">
        <v>58</v>
      </c>
      <c r="E2" s="4" t="s">
        <v>59</v>
      </c>
      <c r="F2" s="5" t="s">
        <v>20</v>
      </c>
      <c r="G2" s="4" t="s">
        <v>60</v>
      </c>
      <c r="H2" s="27" t="s">
        <v>16</v>
      </c>
      <c r="I2" s="28" t="str">
        <f>HYPERLINK("http://localhost:8765/cbt_player.html?q=11", "📝 Q11번 CBT 풀기")</f>
        <v>📝 Q11번 CBT 풀기</v>
      </c>
    </row>
    <row r="3" spans="1:9" ht="36" customHeight="1" x14ac:dyDescent="0.45">
      <c r="A3" s="6" t="s">
        <v>55</v>
      </c>
      <c r="B3" s="6" t="s">
        <v>56</v>
      </c>
      <c r="C3" s="7" t="s">
        <v>61</v>
      </c>
      <c r="D3" s="8" t="s">
        <v>62</v>
      </c>
      <c r="E3" s="8" t="s">
        <v>63</v>
      </c>
      <c r="F3" s="9" t="s">
        <v>20</v>
      </c>
      <c r="G3" s="8" t="s">
        <v>64</v>
      </c>
      <c r="H3" s="27" t="s">
        <v>16</v>
      </c>
      <c r="I3" s="28" t="str">
        <f>HYPERLINK("http://localhost:8765/cbt_player.html?q=12", "📝 Q12번 CBT 풀기")</f>
        <v>📝 Q12번 CBT 풀기</v>
      </c>
    </row>
    <row r="4" spans="1:9" ht="36" customHeight="1" x14ac:dyDescent="0.45">
      <c r="A4" s="2" t="s">
        <v>55</v>
      </c>
      <c r="B4" s="2" t="s">
        <v>56</v>
      </c>
      <c r="C4" s="3" t="s">
        <v>65</v>
      </c>
      <c r="D4" s="4" t="s">
        <v>66</v>
      </c>
      <c r="E4" s="4" t="s">
        <v>67</v>
      </c>
      <c r="F4" s="5" t="s">
        <v>20</v>
      </c>
      <c r="G4" s="4" t="s">
        <v>68</v>
      </c>
      <c r="H4" s="27" t="s">
        <v>16</v>
      </c>
      <c r="I4" s="28" t="str">
        <f>HYPERLINK("http://localhost:8765/cbt_player.html?q=13", "📝 Q13번 CBT 풀기")</f>
        <v>📝 Q13번 CBT 풀기</v>
      </c>
    </row>
    <row r="5" spans="1:9" ht="36" customHeight="1" x14ac:dyDescent="0.45">
      <c r="A5" s="6" t="s">
        <v>55</v>
      </c>
      <c r="B5" s="6" t="s">
        <v>56</v>
      </c>
      <c r="C5" s="7" t="s">
        <v>69</v>
      </c>
      <c r="D5" s="8" t="s">
        <v>70</v>
      </c>
      <c r="E5" s="8" t="s">
        <v>71</v>
      </c>
      <c r="F5" s="9" t="s">
        <v>20</v>
      </c>
      <c r="G5" s="8" t="s">
        <v>72</v>
      </c>
      <c r="H5" s="27" t="s">
        <v>16</v>
      </c>
      <c r="I5" s="28" t="str">
        <f>HYPERLINK("http://localhost:8765/cbt_player.html?q=14", "📝 Q14번 CBT 풀기")</f>
        <v>📝 Q14번 CBT 풀기</v>
      </c>
    </row>
    <row r="6" spans="1:9" ht="36" customHeight="1" x14ac:dyDescent="0.45">
      <c r="A6" s="2" t="s">
        <v>55</v>
      </c>
      <c r="B6" s="2" t="s">
        <v>73</v>
      </c>
      <c r="C6" s="3" t="s">
        <v>74</v>
      </c>
      <c r="D6" s="4" t="s">
        <v>75</v>
      </c>
      <c r="E6" s="4" t="s">
        <v>76</v>
      </c>
      <c r="F6" s="5" t="s">
        <v>20</v>
      </c>
      <c r="G6" s="4" t="s">
        <v>77</v>
      </c>
      <c r="H6" s="27" t="s">
        <v>16</v>
      </c>
      <c r="I6" s="28" t="str">
        <f>HYPERLINK("http://localhost:8765/cbt_player.html?q=15", "📝 Q15번 CBT 풀기")</f>
        <v>📝 Q15번 CBT 풀기</v>
      </c>
    </row>
    <row r="7" spans="1:9" ht="36" customHeight="1" x14ac:dyDescent="0.45">
      <c r="A7" s="6" t="s">
        <v>55</v>
      </c>
      <c r="B7" s="6" t="s">
        <v>73</v>
      </c>
      <c r="C7" s="7" t="s">
        <v>78</v>
      </c>
      <c r="D7" s="8" t="s">
        <v>79</v>
      </c>
      <c r="E7" s="8" t="s">
        <v>80</v>
      </c>
      <c r="F7" s="9" t="s">
        <v>20</v>
      </c>
      <c r="G7" s="8" t="s">
        <v>81</v>
      </c>
      <c r="H7" s="27" t="s">
        <v>16</v>
      </c>
      <c r="I7" s="28" t="str">
        <f>HYPERLINK("http://localhost:8765/cbt_player.html?q=16", "📝 Q16번 CBT 풀기")</f>
        <v>📝 Q16번 CBT 풀기</v>
      </c>
    </row>
    <row r="8" spans="1:9" ht="36" customHeight="1" x14ac:dyDescent="0.45">
      <c r="A8" s="2" t="s">
        <v>55</v>
      </c>
      <c r="B8" s="2" t="s">
        <v>82</v>
      </c>
      <c r="C8" s="3" t="s">
        <v>83</v>
      </c>
      <c r="D8" s="4" t="s">
        <v>84</v>
      </c>
      <c r="E8" s="4" t="s">
        <v>85</v>
      </c>
      <c r="F8" s="5" t="s">
        <v>20</v>
      </c>
      <c r="G8" s="4" t="s">
        <v>86</v>
      </c>
      <c r="H8" s="27" t="s">
        <v>16</v>
      </c>
      <c r="I8" s="28" t="str">
        <f>HYPERLINK("http://localhost:8765/cbt_player.html?q=17", "📝 Q17번 CBT 풀기")</f>
        <v>📝 Q17번 CBT 풀기</v>
      </c>
    </row>
    <row r="9" spans="1:9" ht="36" customHeight="1" x14ac:dyDescent="0.45">
      <c r="A9" s="6" t="s">
        <v>55</v>
      </c>
      <c r="B9" s="6" t="s">
        <v>87</v>
      </c>
      <c r="C9" s="7" t="s">
        <v>88</v>
      </c>
      <c r="D9" s="8" t="s">
        <v>89</v>
      </c>
      <c r="E9" s="8" t="s">
        <v>90</v>
      </c>
      <c r="F9" s="9" t="s">
        <v>14</v>
      </c>
      <c r="G9" s="8" t="s">
        <v>91</v>
      </c>
      <c r="H9" s="27" t="s">
        <v>92</v>
      </c>
      <c r="I9" s="28" t="str">
        <f>HYPERLINK("http://localhost:8765/cbt_player.html?q=18", "📝 Q18번 CBT 풀기")</f>
        <v>📝 Q18번 CBT 풀기</v>
      </c>
    </row>
    <row r="10" spans="1:9" ht="36" customHeight="1" x14ac:dyDescent="0.45">
      <c r="A10" s="2" t="s">
        <v>55</v>
      </c>
      <c r="B10" s="2" t="s">
        <v>87</v>
      </c>
      <c r="C10" s="3" t="s">
        <v>93</v>
      </c>
      <c r="D10" s="4" t="s">
        <v>94</v>
      </c>
      <c r="E10" s="4" t="s">
        <v>95</v>
      </c>
      <c r="F10" s="5" t="s">
        <v>20</v>
      </c>
      <c r="G10" s="4" t="s">
        <v>96</v>
      </c>
      <c r="H10" s="27" t="s">
        <v>16</v>
      </c>
      <c r="I10" s="28" t="str">
        <f>HYPERLINK("http://localhost:8765/cbt_player.html?q=19", "📝 Q19번 CBT 풀기")</f>
        <v>📝 Q19번 CBT 풀기</v>
      </c>
    </row>
    <row r="11" spans="1:9" ht="36" customHeight="1" x14ac:dyDescent="0.45">
      <c r="A11" s="6" t="s">
        <v>55</v>
      </c>
      <c r="B11" s="6" t="s">
        <v>87</v>
      </c>
      <c r="C11" s="7" t="s">
        <v>97</v>
      </c>
      <c r="D11" s="8" t="s">
        <v>98</v>
      </c>
      <c r="E11" s="8" t="s">
        <v>99</v>
      </c>
      <c r="F11" s="9" t="s">
        <v>20</v>
      </c>
      <c r="G11" s="8" t="s">
        <v>100</v>
      </c>
      <c r="H11" s="27" t="s">
        <v>16</v>
      </c>
      <c r="I11" s="28" t="str">
        <f>HYPERLINK("http://localhost:8765/cbt_player.html?q=20", "📝 Q20번 CBT 풀기")</f>
        <v>📝 Q20번 CBT 풀기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/>
  </sheetViews>
  <sheetFormatPr defaultRowHeight="17" x14ac:dyDescent="0.45"/>
  <cols>
    <col min="1" max="1" width="15" customWidth="1"/>
    <col min="2" max="2" width="10" customWidth="1"/>
    <col min="3" max="3" width="26" customWidth="1"/>
    <col min="4" max="4" width="38" customWidth="1"/>
    <col min="5" max="5" width="48" customWidth="1"/>
    <col min="6" max="6" width="15" customWidth="1"/>
    <col min="7" max="7" width="38" customWidth="1"/>
    <col min="8" max="8" width="18" customWidth="1"/>
    <col min="9" max="9" width="22" customWidth="1"/>
    <col min="10" max="10" width="18" customWidth="1"/>
  </cols>
  <sheetData>
    <row r="1" spans="1:9" ht="2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6" t="s">
        <v>7</v>
      </c>
      <c r="I1" s="26" t="s">
        <v>8</v>
      </c>
    </row>
    <row r="2" spans="1:9" ht="36" customHeight="1" x14ac:dyDescent="0.45">
      <c r="A2" s="2" t="s">
        <v>101</v>
      </c>
      <c r="B2" s="2" t="s">
        <v>102</v>
      </c>
      <c r="C2" s="3" t="s">
        <v>103</v>
      </c>
      <c r="D2" s="4" t="s">
        <v>104</v>
      </c>
      <c r="E2" s="4" t="s">
        <v>105</v>
      </c>
      <c r="F2" s="5" t="s">
        <v>20</v>
      </c>
      <c r="G2" s="4" t="s">
        <v>106</v>
      </c>
      <c r="H2" s="27" t="s">
        <v>107</v>
      </c>
      <c r="I2" s="28" t="str">
        <f>HYPERLINK("http://localhost:8765/cbt_player.html?q=21", "📝 Q21번 CBT 풀기")</f>
        <v>📝 Q21번 CBT 풀기</v>
      </c>
    </row>
    <row r="3" spans="1:9" ht="36" customHeight="1" x14ac:dyDescent="0.45">
      <c r="A3" s="6" t="s">
        <v>101</v>
      </c>
      <c r="B3" s="6" t="s">
        <v>108</v>
      </c>
      <c r="C3" s="7" t="s">
        <v>109</v>
      </c>
      <c r="D3" s="8" t="s">
        <v>110</v>
      </c>
      <c r="E3" s="8" t="s">
        <v>111</v>
      </c>
      <c r="F3" s="9" t="s">
        <v>20</v>
      </c>
      <c r="G3" s="8" t="s">
        <v>112</v>
      </c>
      <c r="H3" s="27" t="s">
        <v>113</v>
      </c>
      <c r="I3" s="28" t="str">
        <f>HYPERLINK("http://localhost:8765/cbt_player.html?q=22", "📝 Q22번 CBT 풀기")</f>
        <v>📝 Q22번 CBT 풀기</v>
      </c>
    </row>
    <row r="4" spans="1:9" ht="36" customHeight="1" x14ac:dyDescent="0.45">
      <c r="A4" s="2" t="s">
        <v>101</v>
      </c>
      <c r="B4" s="2" t="s">
        <v>114</v>
      </c>
      <c r="C4" s="3" t="s">
        <v>115</v>
      </c>
      <c r="D4" s="4" t="s">
        <v>116</v>
      </c>
      <c r="E4" s="4" t="s">
        <v>117</v>
      </c>
      <c r="F4" s="5" t="s">
        <v>20</v>
      </c>
      <c r="G4" s="4" t="s">
        <v>118</v>
      </c>
      <c r="H4" s="27" t="s">
        <v>119</v>
      </c>
      <c r="I4" s="28" t="str">
        <f>HYPERLINK("http://localhost:8765/cbt_player.html?q=23", "📝 Q23번 CBT 풀기")</f>
        <v>📝 Q23번 CBT 풀기</v>
      </c>
    </row>
    <row r="5" spans="1:9" ht="36" customHeight="1" x14ac:dyDescent="0.45">
      <c r="A5" s="6" t="s">
        <v>101</v>
      </c>
      <c r="B5" s="6" t="s">
        <v>120</v>
      </c>
      <c r="C5" s="7" t="s">
        <v>121</v>
      </c>
      <c r="D5" s="8" t="s">
        <v>122</v>
      </c>
      <c r="E5" s="8" t="s">
        <v>123</v>
      </c>
      <c r="F5" s="9" t="s">
        <v>20</v>
      </c>
      <c r="G5" s="8" t="s">
        <v>124</v>
      </c>
      <c r="H5" s="27" t="s">
        <v>125</v>
      </c>
      <c r="I5" s="28" t="str">
        <f>HYPERLINK("http://localhost:8765/cbt_player.html?q=24", "📝 Q24번 CBT 풀기")</f>
        <v>📝 Q24번 CBT 풀기</v>
      </c>
    </row>
    <row r="6" spans="1:9" ht="36" customHeight="1" x14ac:dyDescent="0.45">
      <c r="A6" s="2" t="s">
        <v>101</v>
      </c>
      <c r="B6" s="2" t="s">
        <v>120</v>
      </c>
      <c r="C6" s="3" t="s">
        <v>126</v>
      </c>
      <c r="D6" s="4" t="s">
        <v>127</v>
      </c>
      <c r="E6" s="4" t="s">
        <v>128</v>
      </c>
      <c r="F6" s="5" t="s">
        <v>20</v>
      </c>
      <c r="G6" s="4" t="s">
        <v>129</v>
      </c>
      <c r="H6" s="27" t="s">
        <v>130</v>
      </c>
      <c r="I6" s="28" t="str">
        <f>HYPERLINK("http://localhost:8765/cbt_player.html?q=25", "📝 Q25번 CBT 풀기")</f>
        <v>📝 Q25번 CBT 풀기</v>
      </c>
    </row>
    <row r="7" spans="1:9" ht="36" customHeight="1" x14ac:dyDescent="0.45">
      <c r="A7" s="6" t="s">
        <v>101</v>
      </c>
      <c r="B7" s="6" t="s">
        <v>131</v>
      </c>
      <c r="C7" s="7" t="s">
        <v>132</v>
      </c>
      <c r="D7" s="8" t="s">
        <v>133</v>
      </c>
      <c r="E7" s="8" t="s">
        <v>134</v>
      </c>
      <c r="F7" s="9" t="s">
        <v>20</v>
      </c>
      <c r="G7" s="8" t="s">
        <v>135</v>
      </c>
      <c r="H7" s="27" t="s">
        <v>136</v>
      </c>
      <c r="I7" s="28" t="str">
        <f>HYPERLINK("http://localhost:8765/cbt_player.html?q=26", "📝 Q26번 CBT 풀기")</f>
        <v>📝 Q26번 CBT 풀기</v>
      </c>
    </row>
    <row r="8" spans="1:9" ht="36" customHeight="1" x14ac:dyDescent="0.45">
      <c r="A8" s="2" t="s">
        <v>101</v>
      </c>
      <c r="B8" s="2" t="s">
        <v>137</v>
      </c>
      <c r="C8" s="3" t="s">
        <v>138</v>
      </c>
      <c r="D8" s="4" t="s">
        <v>139</v>
      </c>
      <c r="E8" s="4" t="s">
        <v>140</v>
      </c>
      <c r="F8" s="5" t="s">
        <v>20</v>
      </c>
      <c r="G8" s="4" t="s">
        <v>141</v>
      </c>
      <c r="H8" s="27" t="s">
        <v>142</v>
      </c>
      <c r="I8" s="28" t="str">
        <f>HYPERLINK("http://localhost:8765/cbt_player.html?q=27", "📝 Q27번 CBT 풀기")</f>
        <v>📝 Q27번 CBT 풀기</v>
      </c>
    </row>
    <row r="9" spans="1:9" ht="36" customHeight="1" x14ac:dyDescent="0.45">
      <c r="A9" s="6" t="s">
        <v>101</v>
      </c>
      <c r="B9" s="6" t="s">
        <v>143</v>
      </c>
      <c r="C9" s="7" t="s">
        <v>144</v>
      </c>
      <c r="D9" s="8" t="s">
        <v>145</v>
      </c>
      <c r="E9" s="8" t="s">
        <v>146</v>
      </c>
      <c r="F9" s="9" t="s">
        <v>20</v>
      </c>
      <c r="G9" s="8" t="s">
        <v>147</v>
      </c>
      <c r="H9" s="27" t="s">
        <v>148</v>
      </c>
      <c r="I9" s="28" t="str">
        <f>HYPERLINK("http://localhost:8765/cbt_player.html?q=28", "📝 Q28번 CBT 풀기")</f>
        <v>📝 Q28번 CBT 풀기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/>
  </sheetViews>
  <sheetFormatPr defaultRowHeight="17" x14ac:dyDescent="0.45"/>
  <cols>
    <col min="1" max="1" width="15" customWidth="1"/>
    <col min="2" max="2" width="10" customWidth="1"/>
    <col min="3" max="3" width="26" customWidth="1"/>
    <col min="4" max="4" width="38" customWidth="1"/>
    <col min="5" max="5" width="48" customWidth="1"/>
    <col min="6" max="6" width="15" customWidth="1"/>
    <col min="7" max="7" width="38" customWidth="1"/>
    <col min="8" max="8" width="18" customWidth="1"/>
    <col min="9" max="9" width="22" customWidth="1"/>
    <col min="10" max="10" width="18" customWidth="1"/>
  </cols>
  <sheetData>
    <row r="1" spans="1:9" ht="2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6" t="s">
        <v>7</v>
      </c>
      <c r="I1" s="26" t="s">
        <v>8</v>
      </c>
    </row>
    <row r="2" spans="1:9" ht="36" customHeight="1" x14ac:dyDescent="0.45">
      <c r="A2" s="2" t="s">
        <v>149</v>
      </c>
      <c r="B2" s="2" t="s">
        <v>150</v>
      </c>
      <c r="C2" s="3" t="s">
        <v>151</v>
      </c>
      <c r="D2" s="4" t="s">
        <v>152</v>
      </c>
      <c r="E2" s="4" t="s">
        <v>153</v>
      </c>
      <c r="F2" s="5" t="s">
        <v>20</v>
      </c>
      <c r="G2" s="4" t="s">
        <v>154</v>
      </c>
      <c r="H2" s="27" t="s">
        <v>155</v>
      </c>
      <c r="I2" s="28" t="str">
        <f>HYPERLINK("http://localhost:8765/cbt_player.html?q=29", "📝 Q29번 CBT 풀기")</f>
        <v>📝 Q29번 CBT 풀기</v>
      </c>
    </row>
    <row r="3" spans="1:9" ht="36" customHeight="1" x14ac:dyDescent="0.45">
      <c r="A3" s="6" t="s">
        <v>149</v>
      </c>
      <c r="B3" s="6" t="s">
        <v>150</v>
      </c>
      <c r="C3" s="7" t="s">
        <v>156</v>
      </c>
      <c r="D3" s="8" t="s">
        <v>157</v>
      </c>
      <c r="E3" s="8" t="s">
        <v>158</v>
      </c>
      <c r="F3" s="9" t="s">
        <v>20</v>
      </c>
      <c r="G3" s="8" t="s">
        <v>159</v>
      </c>
      <c r="H3" s="27" t="s">
        <v>160</v>
      </c>
      <c r="I3" s="28" t="str">
        <f>HYPERLINK("http://localhost:8765/cbt_player.html?q=30", "📝 Q30번 CBT 풀기")</f>
        <v>📝 Q30번 CBT 풀기</v>
      </c>
    </row>
    <row r="4" spans="1:9" ht="36" customHeight="1" x14ac:dyDescent="0.45">
      <c r="A4" s="2" t="s">
        <v>149</v>
      </c>
      <c r="B4" s="2" t="s">
        <v>161</v>
      </c>
      <c r="C4" s="3" t="s">
        <v>162</v>
      </c>
      <c r="D4" s="4" t="s">
        <v>163</v>
      </c>
      <c r="E4" s="4" t="s">
        <v>164</v>
      </c>
      <c r="F4" s="5" t="s">
        <v>20</v>
      </c>
      <c r="G4" s="4" t="s">
        <v>165</v>
      </c>
      <c r="H4" s="27" t="s">
        <v>166</v>
      </c>
      <c r="I4" s="28" t="str">
        <f>HYPERLINK("http://localhost:8765/cbt_player.html?q=31", "📝 Q31번 CBT 풀기")</f>
        <v>📝 Q31번 CBT 풀기</v>
      </c>
    </row>
    <row r="5" spans="1:9" ht="36" customHeight="1" x14ac:dyDescent="0.45">
      <c r="A5" s="6" t="s">
        <v>149</v>
      </c>
      <c r="B5" s="6" t="s">
        <v>161</v>
      </c>
      <c r="C5" s="7" t="s">
        <v>167</v>
      </c>
      <c r="D5" s="8" t="s">
        <v>168</v>
      </c>
      <c r="E5" s="8" t="s">
        <v>169</v>
      </c>
      <c r="F5" s="9" t="s">
        <v>20</v>
      </c>
      <c r="G5" s="8" t="s">
        <v>170</v>
      </c>
      <c r="H5" s="27" t="s">
        <v>119</v>
      </c>
      <c r="I5" s="28" t="str">
        <f>HYPERLINK("http://localhost:8765/cbt_player.html?q=32", "📝 Q32번 CBT 풀기")</f>
        <v>📝 Q32번 CBT 풀기</v>
      </c>
    </row>
    <row r="6" spans="1:9" ht="36" customHeight="1" x14ac:dyDescent="0.45">
      <c r="A6" s="2" t="s">
        <v>149</v>
      </c>
      <c r="B6" s="2" t="s">
        <v>171</v>
      </c>
      <c r="C6" s="3" t="s">
        <v>172</v>
      </c>
      <c r="D6" s="4" t="s">
        <v>173</v>
      </c>
      <c r="E6" s="4" t="s">
        <v>174</v>
      </c>
      <c r="F6" s="5" t="s">
        <v>20</v>
      </c>
      <c r="G6" s="4" t="s">
        <v>175</v>
      </c>
      <c r="H6" s="27" t="s">
        <v>176</v>
      </c>
      <c r="I6" s="28" t="str">
        <f>HYPERLINK("http://localhost:8765/cbt_player.html?q=33", "📝 Q33번 CBT 풀기")</f>
        <v>📝 Q33번 CBT 풀기</v>
      </c>
    </row>
    <row r="7" spans="1:9" ht="36" customHeight="1" x14ac:dyDescent="0.45">
      <c r="A7" s="6" t="s">
        <v>149</v>
      </c>
      <c r="B7" s="6" t="s">
        <v>177</v>
      </c>
      <c r="C7" s="7" t="s">
        <v>178</v>
      </c>
      <c r="D7" s="8" t="s">
        <v>179</v>
      </c>
      <c r="E7" s="8" t="s">
        <v>180</v>
      </c>
      <c r="F7" s="9" t="s">
        <v>20</v>
      </c>
      <c r="G7" s="8" t="s">
        <v>181</v>
      </c>
      <c r="H7" s="27" t="s">
        <v>182</v>
      </c>
      <c r="I7" s="28" t="str">
        <f>HYPERLINK("http://localhost:8765/cbt_player.html?q=34", "📝 Q34번 CBT 풀기")</f>
        <v>📝 Q34번 CBT 풀기</v>
      </c>
    </row>
    <row r="8" spans="1:9" ht="36" customHeight="1" x14ac:dyDescent="0.45">
      <c r="A8" s="2" t="s">
        <v>149</v>
      </c>
      <c r="B8" s="2" t="s">
        <v>183</v>
      </c>
      <c r="C8" s="3" t="s">
        <v>184</v>
      </c>
      <c r="D8" s="4" t="s">
        <v>185</v>
      </c>
      <c r="E8" s="4" t="s">
        <v>186</v>
      </c>
      <c r="F8" s="5" t="s">
        <v>20</v>
      </c>
      <c r="G8" s="4" t="s">
        <v>187</v>
      </c>
      <c r="H8" s="27" t="s">
        <v>188</v>
      </c>
      <c r="I8" s="28" t="str">
        <f>HYPERLINK("http://localhost:8765/cbt_player.html?q=35", "📝 Q35번 CBT 풀기")</f>
        <v>📝 Q35번 CBT 풀기</v>
      </c>
    </row>
    <row r="9" spans="1:9" ht="36" customHeight="1" x14ac:dyDescent="0.45">
      <c r="A9" s="6" t="s">
        <v>149</v>
      </c>
      <c r="B9" s="6" t="s">
        <v>189</v>
      </c>
      <c r="C9" s="7" t="s">
        <v>190</v>
      </c>
      <c r="D9" s="8" t="s">
        <v>191</v>
      </c>
      <c r="E9" s="8" t="s">
        <v>192</v>
      </c>
      <c r="F9" s="9" t="s">
        <v>20</v>
      </c>
      <c r="G9" s="8" t="s">
        <v>193</v>
      </c>
      <c r="H9" s="27" t="s">
        <v>194</v>
      </c>
      <c r="I9" s="28" t="str">
        <f>HYPERLINK("http://localhost:8765/cbt_player.html?q=36", "📝 Q36번 CBT 풀기")</f>
        <v>📝 Q36번 CBT 풀기</v>
      </c>
    </row>
    <row r="10" spans="1:9" ht="36" customHeight="1" x14ac:dyDescent="0.45">
      <c r="A10" s="2" t="s">
        <v>149</v>
      </c>
      <c r="B10" s="2" t="s">
        <v>195</v>
      </c>
      <c r="C10" s="3" t="s">
        <v>196</v>
      </c>
      <c r="D10" s="4" t="s">
        <v>197</v>
      </c>
      <c r="E10" s="4" t="s">
        <v>198</v>
      </c>
      <c r="F10" s="5" t="s">
        <v>20</v>
      </c>
      <c r="G10" s="4" t="s">
        <v>199</v>
      </c>
      <c r="H10" s="27" t="s">
        <v>200</v>
      </c>
      <c r="I10" s="28" t="str">
        <f>HYPERLINK("http://localhost:8765/cbt_player.html?q=37", "📝 Q37번 CBT 풀기")</f>
        <v>📝 Q37번 CBT 풀기</v>
      </c>
    </row>
    <row r="11" spans="1:9" ht="36" customHeight="1" x14ac:dyDescent="0.45">
      <c r="A11" s="6" t="s">
        <v>149</v>
      </c>
      <c r="B11" s="6" t="s">
        <v>195</v>
      </c>
      <c r="C11" s="7" t="s">
        <v>201</v>
      </c>
      <c r="D11" s="8" t="s">
        <v>202</v>
      </c>
      <c r="E11" s="8" t="s">
        <v>203</v>
      </c>
      <c r="F11" s="9" t="s">
        <v>20</v>
      </c>
      <c r="G11" s="8" t="s">
        <v>204</v>
      </c>
      <c r="H11" s="27" t="s">
        <v>205</v>
      </c>
      <c r="I11" s="28" t="str">
        <f>HYPERLINK("http://localhost:8765/cbt_player.html?q=38", "📝 Q38번 CBT 풀기")</f>
        <v>📝 Q38번 CBT 풀기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/>
  </sheetViews>
  <sheetFormatPr defaultRowHeight="17" x14ac:dyDescent="0.45"/>
  <cols>
    <col min="1" max="1" width="15" customWidth="1"/>
    <col min="2" max="2" width="10" customWidth="1"/>
    <col min="3" max="3" width="26" customWidth="1"/>
    <col min="4" max="4" width="38" customWidth="1"/>
    <col min="5" max="5" width="48" customWidth="1"/>
    <col min="6" max="6" width="15" customWidth="1"/>
    <col min="7" max="7" width="38" customWidth="1"/>
    <col min="8" max="8" width="18" customWidth="1"/>
    <col min="9" max="9" width="22" customWidth="1"/>
    <col min="10" max="10" width="18" customWidth="1"/>
  </cols>
  <sheetData>
    <row r="1" spans="1:9" ht="2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6" t="s">
        <v>7</v>
      </c>
      <c r="I1" s="26" t="s">
        <v>8</v>
      </c>
    </row>
    <row r="2" spans="1:9" ht="36" customHeight="1" x14ac:dyDescent="0.45">
      <c r="A2" s="2" t="s">
        <v>206</v>
      </c>
      <c r="B2" s="2" t="s">
        <v>207</v>
      </c>
      <c r="C2" s="3" t="s">
        <v>208</v>
      </c>
      <c r="D2" s="4" t="s">
        <v>209</v>
      </c>
      <c r="E2" s="4" t="s">
        <v>210</v>
      </c>
      <c r="F2" s="5" t="s">
        <v>20</v>
      </c>
      <c r="G2" s="4" t="s">
        <v>211</v>
      </c>
      <c r="H2" s="27" t="s">
        <v>212</v>
      </c>
      <c r="I2" s="28" t="str">
        <f>HYPERLINK("http://localhost:8765/cbt_player.html?q=39", "📝 Q39번 CBT 풀기")</f>
        <v>📝 Q39번 CBT 풀기</v>
      </c>
    </row>
    <row r="3" spans="1:9" ht="36" customHeight="1" x14ac:dyDescent="0.45">
      <c r="A3" s="6" t="s">
        <v>206</v>
      </c>
      <c r="B3" s="6" t="s">
        <v>207</v>
      </c>
      <c r="C3" s="7" t="s">
        <v>213</v>
      </c>
      <c r="D3" s="8" t="s">
        <v>214</v>
      </c>
      <c r="E3" s="8" t="s">
        <v>215</v>
      </c>
      <c r="F3" s="9" t="s">
        <v>20</v>
      </c>
      <c r="G3" s="8" t="s">
        <v>216</v>
      </c>
      <c r="H3" s="27" t="s">
        <v>217</v>
      </c>
      <c r="I3" s="28" t="str">
        <f>HYPERLINK("http://localhost:8765/cbt_player.html?q=40", "📝 Q40번 CBT 풀기")</f>
        <v>📝 Q40번 CBT 풀기</v>
      </c>
    </row>
    <row r="4" spans="1:9" ht="36" customHeight="1" x14ac:dyDescent="0.45">
      <c r="A4" s="2" t="s">
        <v>206</v>
      </c>
      <c r="B4" s="2" t="s">
        <v>218</v>
      </c>
      <c r="C4" s="3" t="s">
        <v>219</v>
      </c>
      <c r="D4" s="4" t="s">
        <v>220</v>
      </c>
      <c r="E4" s="4" t="s">
        <v>221</v>
      </c>
      <c r="F4" s="5" t="s">
        <v>14</v>
      </c>
      <c r="G4" s="4" t="s">
        <v>222</v>
      </c>
      <c r="H4" s="27" t="s">
        <v>223</v>
      </c>
      <c r="I4" s="28" t="str">
        <f>HYPERLINK("http://localhost:8765/cbt_player.html?q=41", "📝 Q41번 CBT 풀기")</f>
        <v>📝 Q41번 CBT 풀기</v>
      </c>
    </row>
    <row r="5" spans="1:9" ht="36" customHeight="1" x14ac:dyDescent="0.45">
      <c r="A5" s="6" t="s">
        <v>206</v>
      </c>
      <c r="B5" s="6" t="s">
        <v>224</v>
      </c>
      <c r="C5" s="7" t="s">
        <v>225</v>
      </c>
      <c r="D5" s="8" t="s">
        <v>226</v>
      </c>
      <c r="E5" s="8" t="s">
        <v>227</v>
      </c>
      <c r="F5" s="9" t="s">
        <v>20</v>
      </c>
      <c r="G5" s="8" t="s">
        <v>228</v>
      </c>
      <c r="H5" s="27" t="s">
        <v>229</v>
      </c>
      <c r="I5" s="28" t="str">
        <f>HYPERLINK("http://localhost:8765/cbt_player.html?q=42", "📝 Q42번 CBT 풀기")</f>
        <v>📝 Q42번 CBT 풀기</v>
      </c>
    </row>
    <row r="6" spans="1:9" ht="36" customHeight="1" x14ac:dyDescent="0.45">
      <c r="A6" s="2" t="s">
        <v>206</v>
      </c>
      <c r="B6" s="2" t="s">
        <v>230</v>
      </c>
      <c r="C6" s="3" t="s">
        <v>231</v>
      </c>
      <c r="D6" s="4" t="s">
        <v>232</v>
      </c>
      <c r="E6" s="4" t="s">
        <v>233</v>
      </c>
      <c r="F6" s="5" t="s">
        <v>20</v>
      </c>
      <c r="G6" s="4" t="s">
        <v>234</v>
      </c>
      <c r="H6" s="27" t="s">
        <v>235</v>
      </c>
      <c r="I6" s="28" t="str">
        <f>HYPERLINK("http://localhost:8765/cbt_player.html?q=43", "📝 Q43번 CBT 풀기")</f>
        <v>📝 Q43번 CBT 풀기</v>
      </c>
    </row>
    <row r="7" spans="1:9" ht="36" customHeight="1" x14ac:dyDescent="0.45">
      <c r="A7" s="6" t="s">
        <v>206</v>
      </c>
      <c r="B7" s="6" t="s">
        <v>236</v>
      </c>
      <c r="C7" s="7" t="s">
        <v>237</v>
      </c>
      <c r="D7" s="8" t="s">
        <v>238</v>
      </c>
      <c r="E7" s="8" t="s">
        <v>239</v>
      </c>
      <c r="F7" s="9" t="s">
        <v>20</v>
      </c>
      <c r="G7" s="8" t="s">
        <v>240</v>
      </c>
      <c r="H7" s="27" t="s">
        <v>241</v>
      </c>
      <c r="I7" s="28" t="str">
        <f>HYPERLINK("http://localhost:8765/cbt_player.html?q=44", "📝 Q44번 CBT 풀기")</f>
        <v>📝 Q44번 CBT 풀기</v>
      </c>
    </row>
    <row r="8" spans="1:9" ht="36" customHeight="1" x14ac:dyDescent="0.45">
      <c r="A8" s="2" t="s">
        <v>206</v>
      </c>
      <c r="B8" s="2" t="s">
        <v>242</v>
      </c>
      <c r="C8" s="3" t="s">
        <v>243</v>
      </c>
      <c r="D8" s="4" t="s">
        <v>244</v>
      </c>
      <c r="E8" s="4" t="s">
        <v>245</v>
      </c>
      <c r="F8" s="5" t="s">
        <v>20</v>
      </c>
      <c r="G8" s="4" t="s">
        <v>246</v>
      </c>
      <c r="H8" s="27" t="s">
        <v>247</v>
      </c>
      <c r="I8" s="28" t="str">
        <f>HYPERLINK("http://localhost:8765/cbt_player.html?q=45", "📝 Q45번 CBT 풀기")</f>
        <v>📝 Q45번 CBT 풀기</v>
      </c>
    </row>
    <row r="9" spans="1:9" ht="36" customHeight="1" x14ac:dyDescent="0.45">
      <c r="A9" s="6" t="s">
        <v>206</v>
      </c>
      <c r="B9" s="6" t="s">
        <v>248</v>
      </c>
      <c r="C9" s="7" t="s">
        <v>249</v>
      </c>
      <c r="D9" s="8" t="s">
        <v>250</v>
      </c>
      <c r="E9" s="8" t="s">
        <v>251</v>
      </c>
      <c r="F9" s="9" t="s">
        <v>20</v>
      </c>
      <c r="G9" s="8" t="s">
        <v>252</v>
      </c>
      <c r="H9" s="27" t="s">
        <v>253</v>
      </c>
      <c r="I9" s="28" t="str">
        <f>HYPERLINK("http://localhost:8765/cbt_player.html?q=46", "📝 Q46번 CBT 풀기")</f>
        <v>📝 Q46번 CBT 풀기</v>
      </c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workbookViewId="0"/>
  </sheetViews>
  <sheetFormatPr defaultRowHeight="17" x14ac:dyDescent="0.45"/>
  <cols>
    <col min="1" max="1" width="15" customWidth="1"/>
    <col min="2" max="2" width="10" customWidth="1"/>
    <col min="3" max="3" width="26" customWidth="1"/>
    <col min="4" max="4" width="38" customWidth="1"/>
    <col min="5" max="5" width="48" customWidth="1"/>
    <col min="6" max="6" width="15" customWidth="1"/>
    <col min="7" max="7" width="38" customWidth="1"/>
    <col min="8" max="8" width="18" customWidth="1"/>
    <col min="9" max="9" width="22" customWidth="1"/>
    <col min="10" max="10" width="18" customWidth="1"/>
  </cols>
  <sheetData>
    <row r="1" spans="1:9" ht="2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6" t="s">
        <v>7</v>
      </c>
      <c r="I1" s="26" t="s">
        <v>8</v>
      </c>
    </row>
    <row r="2" spans="1:9" ht="36" customHeight="1" x14ac:dyDescent="0.45">
      <c r="A2" s="2" t="s">
        <v>254</v>
      </c>
      <c r="B2" s="2" t="s">
        <v>255</v>
      </c>
      <c r="C2" s="3" t="s">
        <v>256</v>
      </c>
      <c r="D2" s="4" t="s">
        <v>257</v>
      </c>
      <c r="E2" s="4" t="s">
        <v>258</v>
      </c>
      <c r="F2" s="5" t="s">
        <v>20</v>
      </c>
      <c r="G2" s="4" t="s">
        <v>259</v>
      </c>
      <c r="H2" s="27" t="s">
        <v>260</v>
      </c>
      <c r="I2" s="28" t="str">
        <f>HYPERLINK("http://localhost:8765/cbt_player.html?q=47", "📝 Q47번 CBT 풀기")</f>
        <v>📝 Q47번 CBT 풀기</v>
      </c>
    </row>
    <row r="3" spans="1:9" ht="36" customHeight="1" x14ac:dyDescent="0.45">
      <c r="A3" s="6" t="s">
        <v>254</v>
      </c>
      <c r="B3" s="6" t="s">
        <v>261</v>
      </c>
      <c r="C3" s="7" t="s">
        <v>262</v>
      </c>
      <c r="D3" s="8" t="s">
        <v>263</v>
      </c>
      <c r="E3" s="8" t="s">
        <v>264</v>
      </c>
      <c r="F3" s="9" t="s">
        <v>14</v>
      </c>
      <c r="G3" s="8" t="s">
        <v>265</v>
      </c>
      <c r="H3" s="27" t="s">
        <v>260</v>
      </c>
      <c r="I3" s="28" t="str">
        <f>HYPERLINK("http://localhost:8765/cbt_player.html?q=48", "📝 Q48번 CBT 풀기")</f>
        <v>📝 Q48번 CBT 풀기</v>
      </c>
    </row>
    <row r="4" spans="1:9" ht="36" customHeight="1" x14ac:dyDescent="0.45">
      <c r="A4" s="2" t="s">
        <v>254</v>
      </c>
      <c r="B4" s="2" t="s">
        <v>266</v>
      </c>
      <c r="C4" s="3" t="s">
        <v>267</v>
      </c>
      <c r="D4" s="4" t="s">
        <v>268</v>
      </c>
      <c r="E4" s="4" t="s">
        <v>269</v>
      </c>
      <c r="F4" s="5" t="s">
        <v>20</v>
      </c>
      <c r="G4" s="4" t="s">
        <v>270</v>
      </c>
      <c r="H4" s="27" t="s">
        <v>271</v>
      </c>
      <c r="I4" s="28" t="str">
        <f>HYPERLINK("http://localhost:8765/cbt_player.html?q=49", "📝 Q49번 CBT 풀기")</f>
        <v>📝 Q49번 CBT 풀기</v>
      </c>
    </row>
    <row r="5" spans="1:9" ht="36" customHeight="1" x14ac:dyDescent="0.45">
      <c r="A5" s="6" t="s">
        <v>254</v>
      </c>
      <c r="B5" s="6" t="s">
        <v>266</v>
      </c>
      <c r="C5" s="7" t="s">
        <v>272</v>
      </c>
      <c r="D5" s="8" t="s">
        <v>273</v>
      </c>
      <c r="E5" s="8" t="s">
        <v>274</v>
      </c>
      <c r="F5" s="9" t="s">
        <v>20</v>
      </c>
      <c r="G5" s="8" t="s">
        <v>275</v>
      </c>
      <c r="H5" s="27" t="s">
        <v>276</v>
      </c>
      <c r="I5" s="28" t="str">
        <f>HYPERLINK("http://localhost:8765/cbt_player.html?q=50", "📝 Q50번 CBT 풀기")</f>
        <v>📝 Q50번 CBT 풀기</v>
      </c>
    </row>
    <row r="6" spans="1:9" ht="36" customHeight="1" x14ac:dyDescent="0.45">
      <c r="A6" s="2" t="s">
        <v>254</v>
      </c>
      <c r="B6" s="2" t="s">
        <v>277</v>
      </c>
      <c r="C6" s="3" t="s">
        <v>278</v>
      </c>
      <c r="D6" s="4" t="s">
        <v>279</v>
      </c>
      <c r="E6" s="4" t="s">
        <v>280</v>
      </c>
      <c r="F6" s="5" t="s">
        <v>20</v>
      </c>
      <c r="G6" s="4" t="s">
        <v>281</v>
      </c>
      <c r="H6" s="27" t="s">
        <v>276</v>
      </c>
      <c r="I6" s="28" t="str">
        <f>HYPERLINK("http://localhost:8765/cbt_player.html?q=51", "📝 Q51번 CBT 풀기")</f>
        <v>📝 Q51번 CBT 풀기</v>
      </c>
    </row>
    <row r="7" spans="1:9" ht="36" customHeight="1" x14ac:dyDescent="0.45">
      <c r="A7" s="6" t="s">
        <v>254</v>
      </c>
      <c r="B7" s="6" t="s">
        <v>277</v>
      </c>
      <c r="C7" s="7" t="s">
        <v>282</v>
      </c>
      <c r="D7" s="8" t="s">
        <v>283</v>
      </c>
      <c r="E7" s="8" t="s">
        <v>284</v>
      </c>
      <c r="F7" s="9" t="s">
        <v>20</v>
      </c>
      <c r="G7" s="8" t="s">
        <v>285</v>
      </c>
      <c r="H7" s="27" t="s">
        <v>286</v>
      </c>
      <c r="I7" s="28" t="str">
        <f>HYPERLINK("http://localhost:8765/cbt_player.html?q=52", "📝 Q52번 CBT 풀기")</f>
        <v>📝 Q52번 CBT 풀기</v>
      </c>
    </row>
    <row r="8" spans="1:9" ht="36" customHeight="1" x14ac:dyDescent="0.45">
      <c r="A8" s="2" t="s">
        <v>254</v>
      </c>
      <c r="B8" s="2" t="s">
        <v>287</v>
      </c>
      <c r="C8" s="3" t="s">
        <v>288</v>
      </c>
      <c r="D8" s="4" t="s">
        <v>289</v>
      </c>
      <c r="E8" s="4" t="s">
        <v>290</v>
      </c>
      <c r="F8" s="5" t="s">
        <v>20</v>
      </c>
      <c r="G8" s="4" t="s">
        <v>291</v>
      </c>
      <c r="H8" s="27" t="s">
        <v>292</v>
      </c>
      <c r="I8" s="28" t="str">
        <f>HYPERLINK("http://localhost:8765/cbt_player.html?q=53", "📝 Q53번 CBT 풀기")</f>
        <v>📝 Q53번 CBT 풀기</v>
      </c>
    </row>
    <row r="9" spans="1:9" ht="36" customHeight="1" x14ac:dyDescent="0.45">
      <c r="A9" s="6" t="s">
        <v>254</v>
      </c>
      <c r="B9" s="6" t="s">
        <v>287</v>
      </c>
      <c r="C9" s="7" t="s">
        <v>293</v>
      </c>
      <c r="D9" s="8" t="s">
        <v>294</v>
      </c>
      <c r="E9" s="8" t="s">
        <v>295</v>
      </c>
      <c r="F9" s="9" t="s">
        <v>20</v>
      </c>
      <c r="G9" s="8" t="s">
        <v>296</v>
      </c>
      <c r="H9" s="27" t="s">
        <v>297</v>
      </c>
      <c r="I9" s="28" t="str">
        <f>HYPERLINK("http://localhost:8765/cbt_player.html?q=54", "📝 Q54번 CBT 풀기")</f>
        <v>📝 Q54번 CBT 풀기</v>
      </c>
    </row>
  </sheetData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"/>
  <sheetViews>
    <sheetView workbookViewId="0"/>
  </sheetViews>
  <sheetFormatPr defaultRowHeight="17" x14ac:dyDescent="0.45"/>
  <cols>
    <col min="1" max="1" width="15" customWidth="1"/>
    <col min="2" max="2" width="10" customWidth="1"/>
    <col min="3" max="3" width="26" customWidth="1"/>
    <col min="4" max="4" width="38" customWidth="1"/>
    <col min="5" max="5" width="48" customWidth="1"/>
    <col min="6" max="6" width="15" customWidth="1"/>
    <col min="7" max="7" width="38" customWidth="1"/>
    <col min="8" max="8" width="18" customWidth="1"/>
    <col min="9" max="9" width="22" customWidth="1"/>
    <col min="10" max="10" width="18" customWidth="1"/>
  </cols>
  <sheetData>
    <row r="1" spans="1:9" ht="2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6" t="s">
        <v>7</v>
      </c>
      <c r="I1" s="26" t="s">
        <v>8</v>
      </c>
    </row>
    <row r="2" spans="1:9" ht="36" customHeight="1" x14ac:dyDescent="0.45">
      <c r="A2" s="2" t="s">
        <v>298</v>
      </c>
      <c r="B2" s="2" t="s">
        <v>299</v>
      </c>
      <c r="C2" s="3" t="s">
        <v>300</v>
      </c>
      <c r="D2" s="4" t="s">
        <v>301</v>
      </c>
      <c r="E2" s="4" t="s">
        <v>302</v>
      </c>
      <c r="F2" s="5" t="s">
        <v>20</v>
      </c>
      <c r="G2" s="4" t="s">
        <v>303</v>
      </c>
      <c r="H2" s="27" t="s">
        <v>304</v>
      </c>
      <c r="I2" s="28" t="str">
        <f>HYPERLINK("http://localhost:8765/cbt_player.html?q=55", "📝 Q55번 CBT 풀기")</f>
        <v>📝 Q55번 CBT 풀기</v>
      </c>
    </row>
    <row r="3" spans="1:9" ht="36" customHeight="1" x14ac:dyDescent="0.45">
      <c r="A3" s="6" t="s">
        <v>298</v>
      </c>
      <c r="B3" s="6" t="s">
        <v>305</v>
      </c>
      <c r="C3" s="7" t="s">
        <v>306</v>
      </c>
      <c r="D3" s="8" t="s">
        <v>307</v>
      </c>
      <c r="E3" s="8" t="s">
        <v>308</v>
      </c>
      <c r="F3" s="9" t="s">
        <v>20</v>
      </c>
      <c r="G3" s="8" t="s">
        <v>309</v>
      </c>
      <c r="H3" s="27" t="s">
        <v>310</v>
      </c>
      <c r="I3" s="28" t="str">
        <f>HYPERLINK("http://localhost:8765/cbt_player.html?q=56", "📝 Q56번 CBT 풀기")</f>
        <v>📝 Q56번 CBT 풀기</v>
      </c>
    </row>
    <row r="4" spans="1:9" ht="36" customHeight="1" x14ac:dyDescent="0.45">
      <c r="A4" s="2" t="s">
        <v>298</v>
      </c>
      <c r="B4" s="2" t="s">
        <v>311</v>
      </c>
      <c r="C4" s="3" t="s">
        <v>312</v>
      </c>
      <c r="D4" s="4" t="s">
        <v>313</v>
      </c>
      <c r="E4" s="4" t="s">
        <v>314</v>
      </c>
      <c r="F4" s="5" t="s">
        <v>20</v>
      </c>
      <c r="G4" s="4" t="s">
        <v>315</v>
      </c>
      <c r="H4" s="27" t="s">
        <v>316</v>
      </c>
      <c r="I4" s="28" t="str">
        <f>HYPERLINK("http://localhost:8765/cbt_player.html?q=57", "📝 Q57번 CBT 풀기")</f>
        <v>📝 Q57번 CBT 풀기</v>
      </c>
    </row>
    <row r="5" spans="1:9" ht="36" customHeight="1" x14ac:dyDescent="0.45">
      <c r="A5" s="6" t="s">
        <v>298</v>
      </c>
      <c r="B5" s="6" t="s">
        <v>317</v>
      </c>
      <c r="C5" s="7" t="s">
        <v>318</v>
      </c>
      <c r="D5" s="8" t="s">
        <v>319</v>
      </c>
      <c r="E5" s="8" t="s">
        <v>320</v>
      </c>
      <c r="F5" s="9" t="s">
        <v>20</v>
      </c>
      <c r="G5" s="8" t="s">
        <v>321</v>
      </c>
      <c r="H5" s="27" t="s">
        <v>322</v>
      </c>
      <c r="I5" s="28" t="str">
        <f>HYPERLINK("http://localhost:8765/cbt_player.html?q=58", "📝 Q58번 CBT 풀기")</f>
        <v>📝 Q58번 CBT 풀기</v>
      </c>
    </row>
    <row r="6" spans="1:9" ht="36" customHeight="1" x14ac:dyDescent="0.45">
      <c r="A6" s="2" t="s">
        <v>298</v>
      </c>
      <c r="B6" s="2" t="s">
        <v>323</v>
      </c>
      <c r="C6" s="3" t="s">
        <v>324</v>
      </c>
      <c r="D6" s="4" t="s">
        <v>325</v>
      </c>
      <c r="E6" s="4" t="s">
        <v>326</v>
      </c>
      <c r="F6" s="5" t="s">
        <v>20</v>
      </c>
      <c r="G6" s="4" t="s">
        <v>327</v>
      </c>
      <c r="H6" s="27" t="s">
        <v>328</v>
      </c>
      <c r="I6" s="28" t="str">
        <f>HYPERLINK("http://localhost:8765/cbt_player.html?q=59", "📝 Q59번 CBT 풀기")</f>
        <v>📝 Q59번 CBT 풀기</v>
      </c>
    </row>
    <row r="7" spans="1:9" ht="36" customHeight="1" x14ac:dyDescent="0.45">
      <c r="A7" s="6" t="s">
        <v>298</v>
      </c>
      <c r="B7" s="6" t="s">
        <v>329</v>
      </c>
      <c r="C7" s="7" t="s">
        <v>330</v>
      </c>
      <c r="D7" s="8" t="s">
        <v>331</v>
      </c>
      <c r="E7" s="8" t="s">
        <v>332</v>
      </c>
      <c r="F7" s="9" t="s">
        <v>20</v>
      </c>
      <c r="G7" s="8" t="s">
        <v>333</v>
      </c>
      <c r="H7" s="27" t="s">
        <v>334</v>
      </c>
      <c r="I7" s="28" t="str">
        <f>HYPERLINK("http://localhost:8765/cbt_player.html?q=60", "📝 Q60번 CBT 풀기")</f>
        <v>📝 Q60번 CBT 풀기</v>
      </c>
    </row>
    <row r="8" spans="1:9" ht="36" customHeight="1" x14ac:dyDescent="0.45">
      <c r="A8" s="2" t="s">
        <v>298</v>
      </c>
      <c r="B8" s="2" t="s">
        <v>329</v>
      </c>
      <c r="C8" s="3" t="s">
        <v>335</v>
      </c>
      <c r="D8" s="4" t="s">
        <v>336</v>
      </c>
      <c r="E8" s="4" t="s">
        <v>337</v>
      </c>
      <c r="F8" s="5" t="s">
        <v>20</v>
      </c>
      <c r="G8" s="4" t="s">
        <v>338</v>
      </c>
      <c r="H8" s="27" t="s">
        <v>339</v>
      </c>
      <c r="I8" s="28" t="str">
        <f>HYPERLINK("http://localhost:8765/cbt_player.html?q=61", "📝 Q61번 CBT 풀기")</f>
        <v>📝 Q61번 CBT 풀기</v>
      </c>
    </row>
    <row r="9" spans="1:9" ht="36" customHeight="1" x14ac:dyDescent="0.45">
      <c r="A9" s="6" t="s">
        <v>298</v>
      </c>
      <c r="B9" s="6" t="s">
        <v>329</v>
      </c>
      <c r="C9" s="7" t="s">
        <v>340</v>
      </c>
      <c r="D9" s="8" t="s">
        <v>341</v>
      </c>
      <c r="E9" s="8" t="s">
        <v>342</v>
      </c>
      <c r="F9" s="9" t="s">
        <v>20</v>
      </c>
      <c r="G9" s="8" t="s">
        <v>343</v>
      </c>
      <c r="H9" s="27" t="s">
        <v>344</v>
      </c>
      <c r="I9" s="28" t="str">
        <f>HYPERLINK("http://localhost:8765/cbt_player.html?q=62", "📝 Q62번 CBT 풀기")</f>
        <v>📝 Q62번 CBT 풀기</v>
      </c>
    </row>
  </sheetData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I16"/>
  <sheetViews>
    <sheetView zoomScale="145" zoomScaleNormal="145" workbookViewId="0">
      <selection activeCell="A14" sqref="A14"/>
    </sheetView>
  </sheetViews>
  <sheetFormatPr defaultRowHeight="17" x14ac:dyDescent="0.45"/>
  <cols>
    <col min="1" max="1" width="16" customWidth="1"/>
    <col min="2" max="2" width="12" customWidth="1"/>
    <col min="3" max="3" width="26" customWidth="1"/>
    <col min="4" max="4" width="40" customWidth="1"/>
    <col min="5" max="5" width="50" customWidth="1"/>
    <col min="6" max="6" width="15" customWidth="1"/>
    <col min="7" max="7" width="42" customWidth="1"/>
    <col min="8" max="8" width="18" customWidth="1"/>
    <col min="9" max="9" width="22" customWidth="1"/>
    <col min="10" max="10" width="18" customWidth="1"/>
  </cols>
  <sheetData>
    <row r="1" spans="1:9" ht="30" customHeight="1" x14ac:dyDescent="0.4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29" t="s">
        <v>7</v>
      </c>
      <c r="I1" s="29" t="s">
        <v>8</v>
      </c>
    </row>
    <row r="2" spans="1:9" ht="42" customHeight="1" x14ac:dyDescent="0.45">
      <c r="A2" s="10" t="s">
        <v>345</v>
      </c>
      <c r="B2" s="10" t="s">
        <v>346</v>
      </c>
      <c r="C2" s="15" t="s">
        <v>347</v>
      </c>
      <c r="D2" s="12" t="s">
        <v>348</v>
      </c>
      <c r="E2" s="12" t="s">
        <v>349</v>
      </c>
      <c r="F2" s="13" t="s">
        <v>350</v>
      </c>
      <c r="G2" s="11" t="s">
        <v>351</v>
      </c>
      <c r="H2" s="27" t="s">
        <v>352</v>
      </c>
      <c r="I2" s="28" t="str">
        <f>HYPERLINK("http://localhost:8765/cbt_player.html?q=63", "📝 Q63번 CBT 풀기")</f>
        <v>📝 Q63번 CBT 풀기</v>
      </c>
    </row>
    <row r="3" spans="1:9" ht="42" customHeight="1" x14ac:dyDescent="0.45">
      <c r="A3" s="16" t="s">
        <v>353</v>
      </c>
      <c r="B3" s="16" t="s">
        <v>354</v>
      </c>
      <c r="C3" s="17" t="s">
        <v>355</v>
      </c>
      <c r="D3" s="18" t="s">
        <v>356</v>
      </c>
      <c r="E3" s="18" t="s">
        <v>357</v>
      </c>
      <c r="F3" s="19" t="s">
        <v>350</v>
      </c>
      <c r="G3" s="20" t="s">
        <v>358</v>
      </c>
      <c r="H3" s="27" t="s">
        <v>359</v>
      </c>
      <c r="I3" s="28" t="str">
        <f>HYPERLINK("http://localhost:8765/cbt_player.html?q=64", "📝 Q64번 CBT 풀기")</f>
        <v>📝 Q64번 CBT 풀기</v>
      </c>
    </row>
    <row r="4" spans="1:9" ht="42" customHeight="1" x14ac:dyDescent="0.45">
      <c r="A4" s="10" t="s">
        <v>353</v>
      </c>
      <c r="B4" s="10" t="s">
        <v>360</v>
      </c>
      <c r="C4" s="21" t="s">
        <v>361</v>
      </c>
      <c r="D4" s="22" t="s">
        <v>362</v>
      </c>
      <c r="E4" s="22" t="s">
        <v>363</v>
      </c>
      <c r="F4" s="13" t="s">
        <v>350</v>
      </c>
      <c r="G4" s="11" t="s">
        <v>364</v>
      </c>
      <c r="H4" s="27" t="s">
        <v>359</v>
      </c>
      <c r="I4" s="28" t="str">
        <f>HYPERLINK("http://localhost:8765/cbt_player.html?q=65", "📝 Q65번 CBT 풀기")</f>
        <v>📝 Q65번 CBT 풀기</v>
      </c>
    </row>
    <row r="5" spans="1:9" ht="42" customHeight="1" x14ac:dyDescent="0.45">
      <c r="A5" s="16" t="s">
        <v>365</v>
      </c>
      <c r="B5" s="16" t="s">
        <v>366</v>
      </c>
      <c r="C5" s="17" t="s">
        <v>367</v>
      </c>
      <c r="D5" s="18" t="s">
        <v>368</v>
      </c>
      <c r="E5" s="23" t="s">
        <v>369</v>
      </c>
      <c r="F5" s="19" t="s">
        <v>350</v>
      </c>
      <c r="G5" s="20" t="s">
        <v>370</v>
      </c>
      <c r="H5" s="27" t="s">
        <v>371</v>
      </c>
      <c r="I5" s="28" t="str">
        <f>HYPERLINK("http://localhost:8765/cbt_player.html?q=66", "📝 Q66번 CBT 풀기")</f>
        <v>📝 Q66번 CBT 풀기</v>
      </c>
    </row>
    <row r="6" spans="1:9" ht="42" customHeight="1" x14ac:dyDescent="0.45">
      <c r="A6" s="10" t="s">
        <v>372</v>
      </c>
      <c r="B6" s="10" t="s">
        <v>373</v>
      </c>
      <c r="C6" s="15" t="s">
        <v>374</v>
      </c>
      <c r="D6" s="12" t="s">
        <v>375</v>
      </c>
      <c r="E6" s="12" t="s">
        <v>376</v>
      </c>
      <c r="F6" s="13" t="s">
        <v>350</v>
      </c>
      <c r="G6" s="11" t="s">
        <v>377</v>
      </c>
      <c r="H6" s="27" t="s">
        <v>378</v>
      </c>
      <c r="I6" s="28" t="str">
        <f>HYPERLINK("http://localhost:8765/cbt_player.html?q=67", "📝 Q67번 CBT 풀기")</f>
        <v>📝 Q67번 CBT 풀기</v>
      </c>
    </row>
    <row r="7" spans="1:9" ht="42" customHeight="1" x14ac:dyDescent="0.45">
      <c r="A7" s="16" t="s">
        <v>372</v>
      </c>
      <c r="B7" s="16" t="s">
        <v>373</v>
      </c>
      <c r="C7" s="17" t="s">
        <v>379</v>
      </c>
      <c r="D7" s="18" t="s">
        <v>380</v>
      </c>
      <c r="E7" s="18" t="s">
        <v>381</v>
      </c>
      <c r="F7" s="19" t="s">
        <v>350</v>
      </c>
      <c r="G7" s="20" t="s">
        <v>382</v>
      </c>
      <c r="H7" s="27" t="s">
        <v>383</v>
      </c>
      <c r="I7" s="28" t="str">
        <f>HYPERLINK("http://localhost:8765/cbt_player.html?q=68", "📝 Q68번 CBT 풀기")</f>
        <v>📝 Q68번 CBT 풀기</v>
      </c>
    </row>
    <row r="8" spans="1:9" ht="42" customHeight="1" x14ac:dyDescent="0.45">
      <c r="A8" s="10" t="s">
        <v>372</v>
      </c>
      <c r="B8" s="10" t="s">
        <v>373</v>
      </c>
      <c r="C8" s="15" t="s">
        <v>384</v>
      </c>
      <c r="D8" s="12" t="s">
        <v>385</v>
      </c>
      <c r="E8" s="12" t="s">
        <v>386</v>
      </c>
      <c r="F8" s="13" t="s">
        <v>350</v>
      </c>
      <c r="G8" s="11" t="s">
        <v>387</v>
      </c>
      <c r="H8" s="27" t="s">
        <v>388</v>
      </c>
      <c r="I8" s="28" t="str">
        <f>HYPERLINK("http://localhost:8765/cbt_player.html?q=69", "📝 Q69번 CBT 풀기")</f>
        <v>📝 Q69번 CBT 풀기</v>
      </c>
    </row>
    <row r="9" spans="1:9" ht="42" customHeight="1" x14ac:dyDescent="0.45">
      <c r="A9" s="16" t="s">
        <v>372</v>
      </c>
      <c r="B9" s="16" t="s">
        <v>373</v>
      </c>
      <c r="C9" s="17" t="s">
        <v>389</v>
      </c>
      <c r="D9" s="18" t="s">
        <v>390</v>
      </c>
      <c r="E9" s="18" t="s">
        <v>391</v>
      </c>
      <c r="F9" s="19" t="s">
        <v>350</v>
      </c>
      <c r="G9" s="20" t="s">
        <v>392</v>
      </c>
      <c r="H9" s="27" t="s">
        <v>393</v>
      </c>
      <c r="I9" s="28" t="str">
        <f>HYPERLINK("http://localhost:8765/cbt_player.html?q=70", "📝 Q70번 CBT 풀기")</f>
        <v>📝 Q70번 CBT 풀기</v>
      </c>
    </row>
    <row r="10" spans="1:9" ht="42" customHeight="1" x14ac:dyDescent="0.45">
      <c r="A10" s="10" t="s">
        <v>372</v>
      </c>
      <c r="B10" s="10" t="s">
        <v>373</v>
      </c>
      <c r="C10" s="15" t="s">
        <v>394</v>
      </c>
      <c r="D10" s="12" t="s">
        <v>395</v>
      </c>
      <c r="E10" s="12" t="s">
        <v>396</v>
      </c>
      <c r="F10" s="13" t="s">
        <v>350</v>
      </c>
      <c r="G10" s="11" t="s">
        <v>397</v>
      </c>
      <c r="H10" s="27" t="s">
        <v>398</v>
      </c>
      <c r="I10" s="28" t="str">
        <f>HYPERLINK("http://localhost:8765/cbt_player.html?q=71", "📝 Q71번 CBT 풀기")</f>
        <v>📝 Q71번 CBT 풀기</v>
      </c>
    </row>
    <row r="11" spans="1:9" ht="42" customHeight="1" x14ac:dyDescent="0.45">
      <c r="A11" s="16" t="s">
        <v>399</v>
      </c>
      <c r="B11" s="16" t="s">
        <v>400</v>
      </c>
      <c r="C11" s="17" t="s">
        <v>401</v>
      </c>
      <c r="D11" s="18" t="s">
        <v>402</v>
      </c>
      <c r="E11" s="18" t="s">
        <v>403</v>
      </c>
      <c r="F11" s="19" t="s">
        <v>350</v>
      </c>
      <c r="G11" s="20" t="s">
        <v>404</v>
      </c>
      <c r="H11" s="27" t="s">
        <v>92</v>
      </c>
      <c r="I11" s="28" t="str">
        <f>HYPERLINK("http://localhost:8765/cbt_player.html?q=72", "📝 Q72번 CBT 풀기")</f>
        <v>📝 Q72번 CBT 풀기</v>
      </c>
    </row>
    <row r="12" spans="1:9" ht="42" customHeight="1" x14ac:dyDescent="0.45">
      <c r="A12" s="10" t="s">
        <v>399</v>
      </c>
      <c r="B12" s="10" t="s">
        <v>405</v>
      </c>
      <c r="C12" s="15" t="s">
        <v>406</v>
      </c>
      <c r="D12" s="12" t="s">
        <v>407</v>
      </c>
      <c r="E12" s="12" t="s">
        <v>408</v>
      </c>
      <c r="F12" s="13" t="s">
        <v>350</v>
      </c>
      <c r="G12" s="11" t="s">
        <v>409</v>
      </c>
      <c r="H12" s="27" t="s">
        <v>410</v>
      </c>
      <c r="I12" s="28" t="str">
        <f>HYPERLINK("http://localhost:8765/cbt_player.html?q=73", "📝 Q73번 CBT 풀기")</f>
        <v>📝 Q73번 CBT 풀기</v>
      </c>
    </row>
    <row r="13" spans="1:9" ht="42" customHeight="1" x14ac:dyDescent="0.45">
      <c r="A13" s="16" t="s">
        <v>399</v>
      </c>
      <c r="B13" s="16" t="s">
        <v>411</v>
      </c>
      <c r="C13" s="17" t="s">
        <v>412</v>
      </c>
      <c r="D13" s="18" t="s">
        <v>413</v>
      </c>
      <c r="E13" s="18" t="s">
        <v>414</v>
      </c>
      <c r="F13" s="19" t="s">
        <v>350</v>
      </c>
      <c r="G13" s="20" t="s">
        <v>415</v>
      </c>
      <c r="H13" s="27" t="s">
        <v>416</v>
      </c>
      <c r="I13" s="28" t="str">
        <f>HYPERLINK("http://localhost:8765/cbt_player.html?q=74", "📝 Q74번 CBT 풀기")</f>
        <v>📝 Q74번 CBT 풀기</v>
      </c>
    </row>
    <row r="14" spans="1:9" ht="42" customHeight="1" x14ac:dyDescent="0.45">
      <c r="A14" s="10" t="s">
        <v>399</v>
      </c>
      <c r="B14" s="10" t="s">
        <v>266</v>
      </c>
      <c r="C14" s="15" t="s">
        <v>417</v>
      </c>
      <c r="D14" s="12" t="s">
        <v>418</v>
      </c>
      <c r="E14" s="12" t="s">
        <v>419</v>
      </c>
      <c r="F14" s="13" t="s">
        <v>350</v>
      </c>
      <c r="G14" s="24" t="s">
        <v>420</v>
      </c>
      <c r="H14" s="27" t="s">
        <v>276</v>
      </c>
      <c r="I14" s="28" t="str">
        <f>HYPERLINK("http://localhost:8765/cbt_player.html?q=75", "📝 Q75번 CBT 풀기")</f>
        <v>📝 Q75번 CBT 풀기</v>
      </c>
    </row>
    <row r="15" spans="1:9" ht="42" customHeight="1" x14ac:dyDescent="0.45">
      <c r="A15" s="16" t="s">
        <v>399</v>
      </c>
      <c r="B15" s="16" t="s">
        <v>421</v>
      </c>
      <c r="C15" s="17" t="s">
        <v>422</v>
      </c>
      <c r="D15" s="18" t="s">
        <v>423</v>
      </c>
      <c r="E15" s="18" t="s">
        <v>424</v>
      </c>
      <c r="F15" s="19" t="s">
        <v>350</v>
      </c>
      <c r="G15" s="25" t="s">
        <v>425</v>
      </c>
      <c r="H15" s="27" t="s">
        <v>426</v>
      </c>
      <c r="I15" s="28" t="str">
        <f>HYPERLINK("http://localhost:8765/cbt_player.html?q=76", "📝 Q76번 CBT 풀기")</f>
        <v>📝 Q76번 CBT 풀기</v>
      </c>
    </row>
    <row r="16" spans="1:9" ht="42" customHeight="1" x14ac:dyDescent="0.45">
      <c r="A16" s="10" t="s">
        <v>399</v>
      </c>
      <c r="B16" s="10" t="s">
        <v>427</v>
      </c>
      <c r="C16" s="15" t="s">
        <v>428</v>
      </c>
      <c r="D16" s="12" t="s">
        <v>429</v>
      </c>
      <c r="E16" s="12" t="s">
        <v>430</v>
      </c>
      <c r="F16" s="13" t="s">
        <v>350</v>
      </c>
      <c r="G16" s="11" t="s">
        <v>431</v>
      </c>
      <c r="H16" s="27" t="s">
        <v>432</v>
      </c>
      <c r="I16" s="28" t="str">
        <f>HYPERLINK("http://localhost:8765/cbt_player.html?q=77", "📝 Q77번 CBT 풀기")</f>
        <v>📝 Q77번 CBT 풀기</v>
      </c>
    </row>
  </sheetData>
  <phoneticPr fontId="5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전체_통합_기출공식</vt:lpstr>
      <vt:lpstr>1. 선사~초기국가</vt:lpstr>
      <vt:lpstr>2. 삼국~남북국</vt:lpstr>
      <vt:lpstr>3. 고려</vt:lpstr>
      <vt:lpstr>4. 조선</vt:lpstr>
      <vt:lpstr>5. 근대개항기</vt:lpstr>
      <vt:lpstr>6. 일제강점기</vt:lpstr>
      <vt:lpstr>7. 현대</vt:lpstr>
      <vt:lpstr>★킬러_100점완성_공식(Red)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2026-10-06T01:44:54Z</dcterms:created>
  <dcterms:modified xsi:type="dcterms:W3CDTF">2026-10-06T02:43:33Z</dcterms:modified>
</cp:coreProperties>
</file>